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iova\projetos\MyCourses\Diversos\DesafiosGlobais\"/>
    </mc:Choice>
  </mc:AlternateContent>
  <xr:revisionPtr revIDLastSave="0" documentId="13_ncr:1_{ED1CE923-F8E3-465C-B882-C8729CD9F03B}" xr6:coauthVersionLast="47" xr6:coauthVersionMax="47" xr10:uidLastSave="{00000000-0000-0000-0000-000000000000}"/>
  <bookViews>
    <workbookView xWindow="-120" yWindow="-120" windowWidth="29040" windowHeight="15720" xr2:uid="{9C624343-1510-409A-83D6-7EFFAECB3C73}"/>
  </bookViews>
  <sheets>
    <sheet name="Planning" sheetId="1" r:id="rId1"/>
    <sheet name="Setting" sheetId="2" r:id="rId2"/>
  </sheets>
  <definedNames>
    <definedName name="_xlnm._FilterDatabase" localSheetId="0" hidden="1">Planning!$D$8:$N$75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1" l="1"/>
  <c r="N18" i="1" s="1"/>
  <c r="M19" i="1"/>
  <c r="N19" i="1" s="1"/>
  <c r="M34" i="1"/>
  <c r="N34" i="1" s="1"/>
  <c r="M35" i="1"/>
  <c r="N35" i="1" s="1"/>
  <c r="M50" i="1"/>
  <c r="N50" i="1" s="1"/>
  <c r="M51" i="1"/>
  <c r="N51" i="1" s="1"/>
  <c r="M66" i="1"/>
  <c r="N66" i="1" s="1"/>
  <c r="M67" i="1"/>
  <c r="N67" i="1" s="1"/>
  <c r="J10" i="1"/>
  <c r="J11" i="1"/>
  <c r="J12" i="1"/>
  <c r="J13" i="1"/>
  <c r="J14" i="1"/>
  <c r="J15" i="1"/>
  <c r="J16" i="1"/>
  <c r="J17" i="1"/>
  <c r="M17" i="1" s="1"/>
  <c r="N17" i="1" s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M33" i="1" s="1"/>
  <c r="N33" i="1" s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M49" i="1" s="1"/>
  <c r="N49" i="1" s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M65" i="1" s="1"/>
  <c r="N65" i="1" s="1"/>
  <c r="J66" i="1"/>
  <c r="J67" i="1"/>
  <c r="J68" i="1"/>
  <c r="J69" i="1"/>
  <c r="J70" i="1"/>
  <c r="J71" i="1"/>
  <c r="J72" i="1"/>
  <c r="J73" i="1"/>
  <c r="J74" i="1"/>
  <c r="H10" i="1"/>
  <c r="H11" i="1"/>
  <c r="H12" i="1"/>
  <c r="H13" i="1"/>
  <c r="H14" i="1"/>
  <c r="H15" i="1"/>
  <c r="H16" i="1"/>
  <c r="M16" i="1" s="1"/>
  <c r="N16" i="1" s="1"/>
  <c r="H17" i="1"/>
  <c r="H18" i="1"/>
  <c r="H19" i="1"/>
  <c r="H20" i="1"/>
  <c r="H21" i="1"/>
  <c r="H22" i="1"/>
  <c r="H23" i="1"/>
  <c r="H24" i="1"/>
  <c r="H25" i="1"/>
  <c r="H26" i="1"/>
  <c r="M26" i="1" s="1"/>
  <c r="N26" i="1" s="1"/>
  <c r="H27" i="1"/>
  <c r="H28" i="1"/>
  <c r="H29" i="1"/>
  <c r="H30" i="1"/>
  <c r="H31" i="1"/>
  <c r="H32" i="1"/>
  <c r="M32" i="1" s="1"/>
  <c r="N32" i="1" s="1"/>
  <c r="H33" i="1"/>
  <c r="H34" i="1"/>
  <c r="H35" i="1"/>
  <c r="H36" i="1"/>
  <c r="H37" i="1"/>
  <c r="H38" i="1"/>
  <c r="H39" i="1"/>
  <c r="H40" i="1"/>
  <c r="H41" i="1"/>
  <c r="H42" i="1"/>
  <c r="M42" i="1" s="1"/>
  <c r="N42" i="1" s="1"/>
  <c r="H43" i="1"/>
  <c r="H44" i="1"/>
  <c r="H45" i="1"/>
  <c r="H46" i="1"/>
  <c r="H47" i="1"/>
  <c r="H48" i="1"/>
  <c r="M48" i="1" s="1"/>
  <c r="N48" i="1" s="1"/>
  <c r="H49" i="1"/>
  <c r="H50" i="1"/>
  <c r="H51" i="1"/>
  <c r="H52" i="1"/>
  <c r="H53" i="1"/>
  <c r="H54" i="1"/>
  <c r="H55" i="1"/>
  <c r="H56" i="1"/>
  <c r="H57" i="1"/>
  <c r="H58" i="1"/>
  <c r="M58" i="1" s="1"/>
  <c r="N58" i="1" s="1"/>
  <c r="H59" i="1"/>
  <c r="H60" i="1"/>
  <c r="H61" i="1"/>
  <c r="H62" i="1"/>
  <c r="H63" i="1"/>
  <c r="H64" i="1"/>
  <c r="M64" i="1" s="1"/>
  <c r="N64" i="1" s="1"/>
  <c r="H65" i="1"/>
  <c r="H66" i="1"/>
  <c r="H67" i="1"/>
  <c r="H68" i="1"/>
  <c r="H69" i="1"/>
  <c r="H70" i="1"/>
  <c r="H71" i="1"/>
  <c r="H72" i="1"/>
  <c r="H73" i="1"/>
  <c r="H74" i="1"/>
  <c r="M74" i="1" s="1"/>
  <c r="N74" i="1" s="1"/>
  <c r="F10" i="1"/>
  <c r="F11" i="1"/>
  <c r="M11" i="1" s="1"/>
  <c r="N11" i="1" s="1"/>
  <c r="F12" i="1"/>
  <c r="M12" i="1" s="1"/>
  <c r="N12" i="1" s="1"/>
  <c r="F13" i="1"/>
  <c r="M13" i="1" s="1"/>
  <c r="N13" i="1" s="1"/>
  <c r="F14" i="1"/>
  <c r="M14" i="1" s="1"/>
  <c r="N14" i="1" s="1"/>
  <c r="F15" i="1"/>
  <c r="M15" i="1" s="1"/>
  <c r="N15" i="1" s="1"/>
  <c r="F16" i="1"/>
  <c r="F17" i="1"/>
  <c r="F18" i="1"/>
  <c r="F19" i="1"/>
  <c r="F20" i="1"/>
  <c r="M20" i="1" s="1"/>
  <c r="N20" i="1" s="1"/>
  <c r="F21" i="1"/>
  <c r="M21" i="1" s="1"/>
  <c r="N21" i="1" s="1"/>
  <c r="F22" i="1"/>
  <c r="M22" i="1" s="1"/>
  <c r="N22" i="1" s="1"/>
  <c r="F23" i="1"/>
  <c r="M23" i="1" s="1"/>
  <c r="N23" i="1" s="1"/>
  <c r="F24" i="1"/>
  <c r="M24" i="1" s="1"/>
  <c r="N24" i="1" s="1"/>
  <c r="F25" i="1"/>
  <c r="M25" i="1" s="1"/>
  <c r="N25" i="1" s="1"/>
  <c r="F26" i="1"/>
  <c r="F27" i="1"/>
  <c r="M27" i="1" s="1"/>
  <c r="N27" i="1" s="1"/>
  <c r="F28" i="1"/>
  <c r="M28" i="1" s="1"/>
  <c r="N28" i="1" s="1"/>
  <c r="F29" i="1"/>
  <c r="M29" i="1" s="1"/>
  <c r="N29" i="1" s="1"/>
  <c r="F30" i="1"/>
  <c r="M30" i="1" s="1"/>
  <c r="N30" i="1" s="1"/>
  <c r="F31" i="1"/>
  <c r="M31" i="1" s="1"/>
  <c r="N31" i="1" s="1"/>
  <c r="F32" i="1"/>
  <c r="F33" i="1"/>
  <c r="F34" i="1"/>
  <c r="F35" i="1"/>
  <c r="F36" i="1"/>
  <c r="M36" i="1" s="1"/>
  <c r="N36" i="1" s="1"/>
  <c r="F37" i="1"/>
  <c r="M37" i="1" s="1"/>
  <c r="N37" i="1" s="1"/>
  <c r="F38" i="1"/>
  <c r="M38" i="1" s="1"/>
  <c r="N38" i="1" s="1"/>
  <c r="F39" i="1"/>
  <c r="M39" i="1" s="1"/>
  <c r="N39" i="1" s="1"/>
  <c r="F40" i="1"/>
  <c r="M40" i="1" s="1"/>
  <c r="N40" i="1" s="1"/>
  <c r="F41" i="1"/>
  <c r="M41" i="1" s="1"/>
  <c r="N41" i="1" s="1"/>
  <c r="F42" i="1"/>
  <c r="F43" i="1"/>
  <c r="M43" i="1" s="1"/>
  <c r="N43" i="1" s="1"/>
  <c r="F44" i="1"/>
  <c r="M44" i="1" s="1"/>
  <c r="N44" i="1" s="1"/>
  <c r="F45" i="1"/>
  <c r="M45" i="1" s="1"/>
  <c r="N45" i="1" s="1"/>
  <c r="F46" i="1"/>
  <c r="M46" i="1" s="1"/>
  <c r="N46" i="1" s="1"/>
  <c r="F47" i="1"/>
  <c r="M47" i="1" s="1"/>
  <c r="N47" i="1" s="1"/>
  <c r="F48" i="1"/>
  <c r="F49" i="1"/>
  <c r="F50" i="1"/>
  <c r="F51" i="1"/>
  <c r="F52" i="1"/>
  <c r="M52" i="1" s="1"/>
  <c r="N52" i="1" s="1"/>
  <c r="F53" i="1"/>
  <c r="M53" i="1" s="1"/>
  <c r="N53" i="1" s="1"/>
  <c r="F54" i="1"/>
  <c r="M54" i="1" s="1"/>
  <c r="N54" i="1" s="1"/>
  <c r="F55" i="1"/>
  <c r="M55" i="1" s="1"/>
  <c r="N55" i="1" s="1"/>
  <c r="F56" i="1"/>
  <c r="M56" i="1" s="1"/>
  <c r="N56" i="1" s="1"/>
  <c r="F57" i="1"/>
  <c r="M57" i="1" s="1"/>
  <c r="N57" i="1" s="1"/>
  <c r="F58" i="1"/>
  <c r="F59" i="1"/>
  <c r="M59" i="1" s="1"/>
  <c r="N59" i="1" s="1"/>
  <c r="F60" i="1"/>
  <c r="M60" i="1" s="1"/>
  <c r="N60" i="1" s="1"/>
  <c r="F61" i="1"/>
  <c r="M61" i="1" s="1"/>
  <c r="N61" i="1" s="1"/>
  <c r="F62" i="1"/>
  <c r="M62" i="1" s="1"/>
  <c r="N62" i="1" s="1"/>
  <c r="F63" i="1"/>
  <c r="M63" i="1" s="1"/>
  <c r="N63" i="1" s="1"/>
  <c r="F64" i="1"/>
  <c r="F65" i="1"/>
  <c r="F66" i="1"/>
  <c r="F67" i="1"/>
  <c r="F68" i="1"/>
  <c r="M68" i="1" s="1"/>
  <c r="N68" i="1" s="1"/>
  <c r="F69" i="1"/>
  <c r="M69" i="1" s="1"/>
  <c r="N69" i="1" s="1"/>
  <c r="F70" i="1"/>
  <c r="M70" i="1" s="1"/>
  <c r="N70" i="1" s="1"/>
  <c r="F71" i="1"/>
  <c r="M71" i="1" s="1"/>
  <c r="N71" i="1" s="1"/>
  <c r="F72" i="1"/>
  <c r="M72" i="1" s="1"/>
  <c r="N72" i="1" s="1"/>
  <c r="F73" i="1"/>
  <c r="M73" i="1" s="1"/>
  <c r="N73" i="1" s="1"/>
  <c r="F74" i="1"/>
  <c r="B10" i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J9" i="1"/>
  <c r="H9" i="1"/>
  <c r="F9" i="1"/>
  <c r="M9" i="1" s="1"/>
  <c r="N9" i="1" s="1"/>
  <c r="G5" i="1"/>
  <c r="M10" i="1" l="1"/>
  <c r="N10" i="1" s="1"/>
  <c r="N7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Giovani Mesquita</author>
  </authors>
  <commentList>
    <comment ref="E8" authorId="0" shapeId="0" xr:uid="{F29E3227-1C2E-40F3-97B8-18C83AE881DD}">
      <text>
        <r>
          <rPr>
            <b/>
            <sz val="9"/>
            <color indexed="81"/>
            <rFont val="Segoe UI"/>
            <family val="2"/>
          </rPr>
          <t>Giovani Mesquita:</t>
        </r>
        <r>
          <rPr>
            <sz val="9"/>
            <color indexed="81"/>
            <rFont val="Segoe UI"/>
            <family val="2"/>
          </rPr>
          <t xml:space="preserve">
Representa o impacto do problema para os envolvidos, caso ele esteja acontecendo ou venha acontecer.  É o momento de analisar o quão grave é (será) o problema ou ação para a empresa, processo ou pessoas.</t>
        </r>
      </text>
    </comment>
    <comment ref="G8" authorId="0" shapeId="0" xr:uid="{DC93104B-1B80-468F-A4EC-E047F2CF9F31}">
      <text>
        <r>
          <rPr>
            <b/>
            <sz val="9"/>
            <color indexed="81"/>
            <rFont val="Segoe UI"/>
            <family val="2"/>
          </rPr>
          <t>Giovani Mesquita:</t>
        </r>
        <r>
          <rPr>
            <sz val="9"/>
            <color indexed="81"/>
            <rFont val="Segoe UI"/>
            <family val="2"/>
          </rPr>
          <t xml:space="preserve">
Representa o prazo ou tempo disponível para a resolução do problema ou execução da ação.  Quanto mais urgente for, menor será o tempo disponível para trabalhar no problema ou ação.</t>
        </r>
      </text>
    </comment>
    <comment ref="I8" authorId="0" shapeId="0" xr:uid="{EEF5872D-0ABF-4C64-943E-A221E140EE32}">
      <text>
        <r>
          <rPr>
            <b/>
            <sz val="9"/>
            <color indexed="81"/>
            <rFont val="Segoe UI"/>
            <family val="2"/>
          </rPr>
          <t>Giovani Mesquita:</t>
        </r>
        <r>
          <rPr>
            <sz val="9"/>
            <color indexed="81"/>
            <rFont val="Segoe UI"/>
            <family val="2"/>
          </rPr>
          <t xml:space="preserve">
Representa o potencial de crescimento do problema ou ação, ou seja, a probabilidade de se agravar com o passar do tempo (caso nada seja feito). Além do crescimento, a tendência de redução ou desaparecimento do problema também podem ser consideradas na análise da tendência.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<sst xmlns="http://schemas.openxmlformats.org/spreadsheetml/2006/main" count="166" uniqueCount="79">
  <si>
    <t>Matriz de Priorização</t>
  </si>
  <si>
    <t>Projeto</t>
  </si>
  <si>
    <t>Ciclo</t>
  </si>
  <si>
    <t>Key User</t>
  </si>
  <si>
    <t>Problemas</t>
  </si>
  <si>
    <r>
      <rPr>
        <b/>
        <sz val="36"/>
        <color rgb="FFFF8000"/>
        <rFont val="Arvo"/>
      </rPr>
      <t>G</t>
    </r>
    <r>
      <rPr>
        <b/>
        <sz val="18"/>
        <color theme="0"/>
        <rFont val="Palatino Linotype"/>
        <family val="1"/>
      </rPr>
      <t>ravidade</t>
    </r>
  </si>
  <si>
    <r>
      <rPr>
        <b/>
        <sz val="36"/>
        <color rgb="FFFFFF00"/>
        <rFont val="Arvo"/>
      </rPr>
      <t>U</t>
    </r>
    <r>
      <rPr>
        <b/>
        <sz val="18"/>
        <color theme="0"/>
        <rFont val="Palatino Linotype"/>
        <family val="1"/>
      </rPr>
      <t>rgência</t>
    </r>
  </si>
  <si>
    <r>
      <rPr>
        <b/>
        <sz val="36"/>
        <color theme="9" tint="0.39997558519241921"/>
        <rFont val="Arvo"/>
      </rPr>
      <t>T</t>
    </r>
    <r>
      <rPr>
        <b/>
        <sz val="18"/>
        <color theme="0"/>
        <rFont val="Palatino Linotype"/>
        <family val="1"/>
      </rPr>
      <t>endência</t>
    </r>
  </si>
  <si>
    <t>Ajuste</t>
  </si>
  <si>
    <t>Escore
(GUT)</t>
  </si>
  <si>
    <t>Total Geral ==&gt;</t>
  </si>
  <si>
    <t>Porto Alegre, 20 de abril de 2021</t>
  </si>
  <si>
    <t>Integrantes:</t>
  </si>
  <si>
    <t>- Giovani Perotto Mesquita (Analistas de Negócios)</t>
  </si>
  <si>
    <t>Gravidade</t>
  </si>
  <si>
    <t>Urgência</t>
  </si>
  <si>
    <t>Tendência</t>
  </si>
  <si>
    <t>Escore</t>
  </si>
  <si>
    <t>Sem gravidade</t>
  </si>
  <si>
    <t>Sem urgência</t>
  </si>
  <si>
    <t>Sem tendência de piorar</t>
  </si>
  <si>
    <t>Pouco grave</t>
  </si>
  <si>
    <t>Pouco urgente</t>
  </si>
  <si>
    <t>Piorar em longo prazo</t>
  </si>
  <si>
    <t>Grave</t>
  </si>
  <si>
    <t>Urgente</t>
  </si>
  <si>
    <t>Piorar em médio prazo</t>
  </si>
  <si>
    <t>Muito grave</t>
  </si>
  <si>
    <t>Muito urgente</t>
  </si>
  <si>
    <t>Piorar em curto prazo</t>
  </si>
  <si>
    <t>Extremamente grave</t>
  </si>
  <si>
    <t>Extremamente urgente</t>
  </si>
  <si>
    <t>Agravar rápido</t>
  </si>
  <si>
    <t>Questões ambientais</t>
  </si>
  <si>
    <t xml:space="preserve">   Cobertura vegetal</t>
  </si>
  <si>
    <t xml:space="preserve">   Nascentes</t>
  </si>
  <si>
    <t xml:space="preserve">   Oceanos</t>
  </si>
  <si>
    <t xml:space="preserve">      Metano</t>
  </si>
  <si>
    <t xml:space="preserve">   Represas</t>
  </si>
  <si>
    <t xml:space="preserve">   Várzeas</t>
  </si>
  <si>
    <t xml:space="preserve">      Assoreamento</t>
  </si>
  <si>
    <t xml:space="preserve">   Urbanização</t>
  </si>
  <si>
    <t xml:space="preserve">      Asfaltização</t>
  </si>
  <si>
    <t xml:space="preserve">      Concreto</t>
  </si>
  <si>
    <t>Poluição</t>
  </si>
  <si>
    <t xml:space="preserve">   Gás carbônico</t>
  </si>
  <si>
    <t xml:space="preserve">   Nuclear</t>
  </si>
  <si>
    <t xml:space="preserve">   Plástico</t>
  </si>
  <si>
    <t>Mudanças geofísicas</t>
  </si>
  <si>
    <t xml:space="preserve">   Aquífero indianos</t>
  </si>
  <si>
    <t xml:space="preserve">   Concreto Chinês</t>
  </si>
  <si>
    <t>Variações solares</t>
  </si>
  <si>
    <t xml:space="preserve">   Ciclos</t>
  </si>
  <si>
    <t>Anomalias magnéticas</t>
  </si>
  <si>
    <t xml:space="preserve">   Atlântico</t>
  </si>
  <si>
    <t>Camada de ozônio</t>
  </si>
  <si>
    <t xml:space="preserve">   Polos</t>
  </si>
  <si>
    <t>Vulcanismo</t>
  </si>
  <si>
    <t xml:space="preserve">   Super vulcão da Itália</t>
  </si>
  <si>
    <t xml:space="preserve">   Super vulcão de Yellowstone</t>
  </si>
  <si>
    <t>Conflitos</t>
  </si>
  <si>
    <t xml:space="preserve">   Econômicos</t>
  </si>
  <si>
    <t xml:space="preserve">   Religiosos</t>
  </si>
  <si>
    <t xml:space="preserve">   Sociais</t>
  </si>
  <si>
    <t>Fome</t>
  </si>
  <si>
    <t xml:space="preserve">   Educação</t>
  </si>
  <si>
    <t xml:space="preserve">   Natalidade</t>
  </si>
  <si>
    <t xml:space="preserve">   Produção</t>
  </si>
  <si>
    <t xml:space="preserve">   Refugiados</t>
  </si>
  <si>
    <t>Diversos</t>
  </si>
  <si>
    <t xml:space="preserve">   Asteróides</t>
  </si>
  <si>
    <t xml:space="preserve">   Cometas</t>
  </si>
  <si>
    <t xml:space="preserve">   Veículos espaciais</t>
  </si>
  <si>
    <t xml:space="preserve">   IA</t>
  </si>
  <si>
    <t xml:space="preserve">   Vida extraterrestre</t>
  </si>
  <si>
    <t>Desafios Globais</t>
  </si>
  <si>
    <t>Giovani Perotto Mesquita</t>
  </si>
  <si>
    <t>Pai</t>
  </si>
  <si>
    <t>Ordem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</si>
</sst>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0"/>
      <name val="Palatino Linotype"/>
      <family val="1"/>
    </font>
    <font>
      <b/>
      <i/>
      <sz val="14"/>
      <color theme="1"/>
      <name val="Palatino Linotype"/>
      <family val="1"/>
    </font>
    <font>
      <b/>
      <sz val="18"/>
      <color theme="4" tint="-0.249977111117893"/>
      <name val="Palatino Linotype"/>
      <family val="1"/>
    </font>
    <font>
      <sz val="11"/>
      <color theme="1"/>
      <name val="Palatino Linotype"/>
      <family val="1"/>
    </font>
    <font>
      <b/>
      <sz val="26"/>
      <color theme="1"/>
      <name val="Palatino Linotype"/>
      <family val="1"/>
    </font>
    <font>
      <b/>
      <sz val="18"/>
      <color rgb="FFFF0000"/>
      <name val="Palatino Linotype"/>
      <family val="1"/>
    </font>
    <font>
      <i/>
      <sz val="14"/>
      <color theme="1"/>
      <name val="Palatino Linotype"/>
      <family val="1"/>
    </font>
    <font>
      <sz val="14"/>
      <color theme="1"/>
      <name val="Palatino Linotype"/>
      <family val="1"/>
    </font>
    <font>
      <b/>
      <sz val="16"/>
      <color theme="0"/>
      <name val="Times New Roman"/>
      <family val="1"/>
    </font>
    <font>
      <u/>
      <sz val="16"/>
      <color theme="0"/>
      <name val="Times New Roman"/>
      <family val="1"/>
    </font>
    <font>
      <sz val="11"/>
      <color theme="0"/>
      <name val="Times New Roman"/>
      <family val="1"/>
    </font>
    <font>
      <sz val="11"/>
      <color theme="1"/>
      <name val="Times New Roman"/>
      <family val="1"/>
    </font>
    <font>
      <b/>
      <sz val="72"/>
      <color theme="0"/>
      <name val="Lucida Fax"/>
      <family val="1"/>
    </font>
    <font>
      <b/>
      <sz val="36"/>
      <color rgb="FFFFFF00"/>
      <name val="Arvo"/>
    </font>
    <font>
      <b/>
      <sz val="36"/>
      <color rgb="FFFF8000"/>
      <name val="Arvo"/>
    </font>
    <font>
      <b/>
      <sz val="36"/>
      <color theme="9" tint="0.39997558519241921"/>
      <name val="Arvo"/>
    </font>
    <font>
      <b/>
      <sz val="18"/>
      <color theme="0"/>
      <name val="Arvo"/>
    </font>
    <font>
      <sz val="11"/>
      <color rgb="FFFFFFFF"/>
      <name val="Corbel"/>
      <family val="2"/>
    </font>
    <font>
      <b/>
      <sz val="14"/>
      <color theme="0"/>
      <name val="Arvo"/>
    </font>
    <font>
      <b/>
      <sz val="8"/>
      <color theme="0"/>
      <name val="Abadi"/>
      <family val="2"/>
    </font>
    <font>
      <sz val="11"/>
      <color theme="1"/>
      <name val="Courier New"/>
      <family val="3"/>
    </font>
    <font>
      <b/>
      <sz val="14"/>
      <color theme="0"/>
      <name val="Palatino Linotype"/>
      <family val="1"/>
    </font>
    <font>
      <u/>
      <sz val="14"/>
      <color theme="1"/>
      <name val="Palatino Linotype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Palatino Linotype"/>
      <family val="1"/>
    </font>
    <font>
      <sz val="11"/>
      <color rgb="FFFF0000"/>
      <name val="Palatino Linotype"/>
      <family val="1"/>
    </font>
    <font>
      <sz val="14"/>
      <color rgb="FF000000"/>
      <name val="Palatino Linotype"/>
      <family val="1"/>
    </font>
    <font>
      <sz val="14"/>
      <color rgb="FFFF0000"/>
      <name val="Palatino Linotype"/>
      <family val="1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FB76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dotted">
        <color theme="1"/>
      </right>
      <top style="thin">
        <color theme="0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thin">
        <color theme="0"/>
      </top>
      <bottom style="dotted">
        <color theme="1"/>
      </bottom>
      <diagonal/>
    </border>
    <border>
      <left style="dotted">
        <color theme="1"/>
      </left>
      <right style="thin">
        <color theme="0"/>
      </right>
      <top style="thin">
        <color theme="0"/>
      </top>
      <bottom style="dotted">
        <color theme="1"/>
      </bottom>
      <diagonal/>
    </border>
    <border>
      <left style="thin">
        <color theme="0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thin">
        <color theme="0"/>
      </right>
      <top style="dotted">
        <color theme="1"/>
      </top>
      <bottom style="dotted">
        <color theme="1"/>
      </bottom>
      <diagonal/>
    </border>
    <border>
      <left style="thin">
        <color theme="0"/>
      </left>
      <right style="dotted">
        <color theme="1"/>
      </right>
      <top style="dotted">
        <color theme="1"/>
      </top>
      <bottom style="thin">
        <color theme="0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thin">
        <color theme="0"/>
      </bottom>
      <diagonal/>
    </border>
    <border>
      <left style="dotted">
        <color theme="1"/>
      </left>
      <right style="thin">
        <color theme="0"/>
      </right>
      <top style="dotted">
        <color theme="1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 style="double">
        <color indexed="64"/>
      </top>
      <bottom style="thin">
        <color theme="0"/>
      </bottom>
      <diagonal/>
    </border>
    <border>
      <left/>
      <right/>
      <top style="dotted">
        <color theme="0"/>
      </top>
      <bottom/>
      <diagonal/>
    </border>
    <border>
      <left style="thin">
        <color theme="0"/>
      </left>
      <right style="hair">
        <color auto="1"/>
      </right>
      <top style="hair">
        <color theme="1"/>
      </top>
      <bottom style="hair">
        <color auto="1"/>
      </bottom>
      <diagonal/>
    </border>
    <border>
      <left style="thin">
        <color theme="0"/>
      </left>
      <right style="hair">
        <color auto="1"/>
      </right>
      <top style="hair">
        <color auto="1"/>
      </top>
      <bottom style="thin">
        <color theme="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0"/>
      </bottom>
      <diagonal/>
    </border>
    <border>
      <left style="hair">
        <color auto="1"/>
      </left>
      <right style="hair">
        <color auto="1"/>
      </right>
      <top style="thin">
        <color theme="0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1"/>
      </left>
      <right style="hair">
        <color auto="1"/>
      </right>
      <top style="hair">
        <color auto="1"/>
      </top>
      <bottom style="hair">
        <color theme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14" fontId="6" fillId="4" borderId="8" xfId="0" applyNumberFormat="1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14" fontId="9" fillId="4" borderId="8" xfId="0" applyNumberFormat="1" applyFont="1" applyFill="1" applyBorder="1" applyAlignment="1">
      <alignment horizontal="center" vertical="center"/>
    </xf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11" fillId="4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vertical="center"/>
    </xf>
    <xf numFmtId="0" fontId="7" fillId="3" borderId="16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center"/>
    </xf>
    <xf numFmtId="0" fontId="15" fillId="3" borderId="0" xfId="0" applyFont="1" applyFill="1" applyAlignment="1">
      <alignment horizontal="center" vertical="center"/>
    </xf>
    <xf numFmtId="0" fontId="7" fillId="4" borderId="20" xfId="0" applyFont="1" applyFill="1" applyBorder="1"/>
    <xf numFmtId="0" fontId="4" fillId="11" borderId="4" xfId="0" applyFont="1" applyFill="1" applyBorder="1" applyAlignment="1">
      <alignment horizontal="center" vertical="center"/>
    </xf>
    <xf numFmtId="0" fontId="20" fillId="11" borderId="4" xfId="0" applyFont="1" applyFill="1" applyBorder="1" applyAlignment="1">
      <alignment horizontal="center" vertical="center"/>
    </xf>
    <xf numFmtId="0" fontId="21" fillId="6" borderId="17" xfId="0" applyFont="1" applyFill="1" applyBorder="1"/>
    <xf numFmtId="0" fontId="21" fillId="6" borderId="18" xfId="0" applyFont="1" applyFill="1" applyBorder="1"/>
    <xf numFmtId="0" fontId="23" fillId="11" borderId="4" xfId="0" applyFont="1" applyFill="1" applyBorder="1" applyAlignment="1">
      <alignment horizontal="right" vertical="center"/>
    </xf>
    <xf numFmtId="0" fontId="23" fillId="11" borderId="23" xfId="0" applyFont="1" applyFill="1" applyBorder="1" applyAlignment="1">
      <alignment horizontal="right" vertical="center"/>
    </xf>
    <xf numFmtId="0" fontId="0" fillId="7" borderId="2" xfId="0" applyFill="1" applyBorder="1"/>
    <xf numFmtId="0" fontId="0" fillId="8" borderId="14" xfId="0" applyFill="1" applyBorder="1"/>
    <xf numFmtId="0" fontId="0" fillId="5" borderId="14" xfId="0" applyFill="1" applyBorder="1"/>
    <xf numFmtId="0" fontId="0" fillId="9" borderId="14" xfId="0" applyFill="1" applyBorder="1"/>
    <xf numFmtId="0" fontId="0" fillId="10" borderId="3" xfId="0" applyFill="1" applyBorder="1"/>
    <xf numFmtId="0" fontId="24" fillId="6" borderId="17" xfId="0" applyFont="1" applyFill="1" applyBorder="1"/>
    <xf numFmtId="0" fontId="24" fillId="6" borderId="21" xfId="0" applyFont="1" applyFill="1" applyBorder="1" applyAlignment="1">
      <alignment horizontal="center"/>
    </xf>
    <xf numFmtId="0" fontId="24" fillId="6" borderId="20" xfId="0" applyFont="1" applyFill="1" applyBorder="1"/>
    <xf numFmtId="0" fontId="24" fillId="6" borderId="22" xfId="0" applyFont="1" applyFill="1" applyBorder="1" applyAlignment="1">
      <alignment horizontal="center"/>
    </xf>
    <xf numFmtId="0" fontId="24" fillId="6" borderId="19" xfId="0" applyFont="1" applyFill="1" applyBorder="1" applyAlignment="1">
      <alignment horizontal="center"/>
    </xf>
    <xf numFmtId="0" fontId="7" fillId="6" borderId="20" xfId="0" applyFont="1" applyFill="1" applyBorder="1"/>
    <xf numFmtId="0" fontId="7" fillId="6" borderId="21" xfId="0" applyFont="1" applyFill="1" applyBorder="1" applyAlignment="1">
      <alignment horizontal="center"/>
    </xf>
    <xf numFmtId="0" fontId="25" fillId="11" borderId="4" xfId="0" applyFont="1" applyFill="1" applyBorder="1" applyAlignment="1">
      <alignment horizontal="center" vertical="center" wrapText="1"/>
    </xf>
    <xf numFmtId="0" fontId="26" fillId="3" borderId="0" xfId="0" applyFont="1" applyFill="1" applyAlignment="1">
      <alignment horizontal="center"/>
    </xf>
    <xf numFmtId="0" fontId="11" fillId="3" borderId="16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28" fillId="3" borderId="0" xfId="0" applyFont="1" applyFill="1" applyAlignment="1">
      <alignment horizontal="center"/>
    </xf>
    <xf numFmtId="0" fontId="7" fillId="6" borderId="20" xfId="0" applyFont="1" applyFill="1" applyBorder="1" applyAlignment="1">
      <alignment horizontal="center"/>
    </xf>
    <xf numFmtId="0" fontId="7" fillId="6" borderId="19" xfId="0" applyFont="1" applyFill="1" applyBorder="1" applyAlignment="1">
      <alignment horizontal="center"/>
    </xf>
    <xf numFmtId="0" fontId="4" fillId="11" borderId="0" xfId="0" applyFont="1" applyFill="1" applyAlignment="1">
      <alignment horizontal="center" vertical="center"/>
    </xf>
    <xf numFmtId="0" fontId="30" fillId="6" borderId="30" xfId="0" applyFont="1" applyFill="1" applyBorder="1" applyAlignment="1">
      <alignment horizontal="center"/>
    </xf>
    <xf numFmtId="0" fontId="30" fillId="6" borderId="31" xfId="0" applyFont="1" applyFill="1" applyBorder="1" applyAlignment="1">
      <alignment horizontal="center"/>
    </xf>
    <xf numFmtId="0" fontId="31" fillId="6" borderId="20" xfId="0" applyFont="1" applyFill="1" applyBorder="1" applyAlignment="1">
      <alignment horizontal="center"/>
    </xf>
    <xf numFmtId="0" fontId="31" fillId="6" borderId="30" xfId="0" applyFont="1" applyFill="1" applyBorder="1" applyAlignment="1">
      <alignment horizontal="center"/>
    </xf>
    <xf numFmtId="0" fontId="32" fillId="6" borderId="21" xfId="0" applyFont="1" applyFill="1" applyBorder="1" applyAlignment="1">
      <alignment horizontal="center"/>
    </xf>
    <xf numFmtId="0" fontId="33" fillId="6" borderId="21" xfId="0" applyFont="1" applyFill="1" applyBorder="1" applyAlignment="1">
      <alignment horizontal="center"/>
    </xf>
    <xf numFmtId="0" fontId="22" fillId="11" borderId="24" xfId="0" applyFont="1" applyFill="1" applyBorder="1" applyAlignment="1">
      <alignment horizontal="center" vertical="center" textRotation="90"/>
    </xf>
    <xf numFmtId="0" fontId="22" fillId="11" borderId="25" xfId="0" applyFont="1" applyFill="1" applyBorder="1" applyAlignment="1">
      <alignment horizontal="center" vertical="center" textRotation="90"/>
    </xf>
    <xf numFmtId="0" fontId="22" fillId="11" borderId="26" xfId="0" applyFont="1" applyFill="1" applyBorder="1" applyAlignment="1">
      <alignment horizontal="center" vertical="center" textRotation="90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4" fillId="3" borderId="0" xfId="0" quotePrefix="1" applyFont="1" applyFill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22" fillId="11" borderId="29" xfId="0" applyFont="1" applyFill="1" applyBorder="1" applyAlignment="1">
      <alignment horizontal="center" vertical="center" textRotation="90"/>
    </xf>
    <xf numFmtId="0" fontId="16" fillId="3" borderId="0" xfId="0" applyFont="1" applyFill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20" fillId="11" borderId="4" xfId="0" applyFont="1" applyFill="1" applyBorder="1" applyAlignment="1">
      <alignment horizontal="center" vertical="center"/>
    </xf>
    <xf numFmtId="14" fontId="8" fillId="4" borderId="9" xfId="0" applyNumberFormat="1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15">
    <dxf>
      <fill>
        <patternFill>
          <bgColor rgb="FFFF0000"/>
        </patternFill>
      </fill>
    </dxf>
    <dxf>
      <fill>
        <patternFill>
          <bgColor rgb="FFFF8000"/>
        </patternFill>
      </fill>
    </dxf>
    <dxf>
      <fill>
        <patternFill>
          <bgColor rgb="FFFFFF00"/>
        </patternFill>
      </fill>
    </dxf>
    <dxf>
      <fill>
        <patternFill>
          <bgColor rgb="FF7FB76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8000"/>
        </patternFill>
      </fill>
    </dxf>
    <dxf>
      <fill>
        <patternFill>
          <bgColor rgb="FFFFFF00"/>
        </patternFill>
      </fill>
    </dxf>
    <dxf>
      <fill>
        <patternFill>
          <bgColor rgb="FF7FB76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8000"/>
        </patternFill>
      </fill>
    </dxf>
    <dxf>
      <fill>
        <patternFill>
          <bgColor rgb="FFFFFF00"/>
        </patternFill>
      </fill>
    </dxf>
    <dxf>
      <fill>
        <patternFill>
          <bgColor rgb="FF7FB76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FFFFCC"/>
      <color rgb="FFFFFFFF"/>
      <color rgb="FFFF8000"/>
      <color rgb="FFFFFF00"/>
      <color rgb="FFFF0000"/>
      <color rgb="FF7FB760"/>
      <color rgb="FF0070C0"/>
      <color rgb="FF99CC00"/>
      <color rgb="FF33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7</xdr:row>
          <xdr:rowOff>38100</xdr:rowOff>
        </xdr:from>
        <xdr:to>
          <xdr:col>15</xdr:col>
          <xdr:colOff>200025</xdr:colOff>
          <xdr:row>7</xdr:row>
          <xdr:rowOff>523875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Escore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9DAF1-5250-4D78-B333-4EDCD8C0C520}">
  <sheetPr codeName="Planilha1"/>
  <dimension ref="B2:N87"/>
  <sheetViews>
    <sheetView showGridLines="0" tabSelected="1" zoomScaleNormal="100" workbookViewId="0">
      <pane ySplit="8" topLeftCell="A9" activePane="bottomLeft" state="frozen"/>
      <selection pane="bottomLeft" activeCell="P11" sqref="P11"/>
    </sheetView>
  </sheetViews>
  <sheetFormatPr defaultColWidth="9.140625" defaultRowHeight="18.75" x14ac:dyDescent="0.3"/>
  <cols>
    <col min="1" max="1" width="2.5703125" style="2" customWidth="1"/>
    <col min="2" max="3" width="4.28515625" style="2" customWidth="1"/>
    <col min="4" max="4" width="57.28515625" style="2" customWidth="1"/>
    <col min="5" max="5" width="30.7109375" style="3" customWidth="1"/>
    <col min="6" max="6" width="6.42578125" style="2" hidden="1" customWidth="1"/>
    <col min="7" max="7" width="30.7109375" style="3" customWidth="1"/>
    <col min="8" max="8" width="6.42578125" style="2" hidden="1" customWidth="1"/>
    <col min="9" max="9" width="30.7109375" style="3" customWidth="1"/>
    <col min="10" max="10" width="6.140625" style="2" hidden="1" customWidth="1"/>
    <col min="11" max="11" width="16.140625" style="3" bestFit="1" customWidth="1"/>
    <col min="12" max="12" width="6.5703125" style="3" hidden="1" customWidth="1"/>
    <col min="13" max="13" width="6.140625" style="2" hidden="1" customWidth="1"/>
    <col min="14" max="14" width="14.7109375" style="44" customWidth="1"/>
    <col min="15" max="16384" width="9.140625" style="2"/>
  </cols>
  <sheetData>
    <row r="2" spans="2:14" ht="89.25" x14ac:dyDescent="0.25">
      <c r="D2" s="64" t="s">
        <v>0</v>
      </c>
      <c r="E2" s="64"/>
      <c r="F2" s="64"/>
      <c r="G2" s="64"/>
      <c r="H2" s="64"/>
      <c r="I2" s="64"/>
      <c r="J2" s="64"/>
      <c r="K2" s="64"/>
      <c r="L2" s="64"/>
      <c r="M2" s="64"/>
      <c r="N2" s="64"/>
    </row>
    <row r="4" spans="2:14" ht="23.25" customHeight="1" x14ac:dyDescent="0.25">
      <c r="B4" s="54" t="s">
        <v>78</v>
      </c>
      <c r="C4" s="54" t="s">
        <v>77</v>
      </c>
      <c r="D4" s="22" t="s">
        <v>1</v>
      </c>
      <c r="E4" s="65" t="s">
        <v>75</v>
      </c>
      <c r="F4" s="66"/>
      <c r="G4" s="66"/>
      <c r="H4" s="66"/>
      <c r="I4" s="66"/>
      <c r="J4" s="66"/>
      <c r="K4" s="66"/>
      <c r="L4" s="66"/>
      <c r="M4" s="66"/>
      <c r="N4" s="67"/>
    </row>
    <row r="5" spans="2:14" ht="23.25" customHeight="1" x14ac:dyDescent="0.25">
      <c r="B5" s="55"/>
      <c r="C5" s="55"/>
      <c r="D5" s="68" t="s">
        <v>2</v>
      </c>
      <c r="E5" s="10">
        <v>45658</v>
      </c>
      <c r="F5" s="11"/>
      <c r="G5" s="69" t="str">
        <f>CONCATENATE(NETWORKDAYS(E5,E6)," dias")</f>
        <v>261 dias</v>
      </c>
      <c r="H5" s="70"/>
      <c r="I5" s="70"/>
      <c r="J5" s="70"/>
      <c r="K5" s="70"/>
      <c r="L5" s="70"/>
      <c r="M5" s="70"/>
      <c r="N5" s="71"/>
    </row>
    <row r="6" spans="2:14" ht="23.25" customHeight="1" x14ac:dyDescent="0.25">
      <c r="B6" s="55"/>
      <c r="C6" s="55"/>
      <c r="D6" s="68"/>
      <c r="E6" s="12">
        <v>46022</v>
      </c>
      <c r="F6" s="11"/>
      <c r="G6" s="70"/>
      <c r="H6" s="70"/>
      <c r="I6" s="70"/>
      <c r="J6" s="70"/>
      <c r="K6" s="70"/>
      <c r="L6" s="70"/>
      <c r="M6" s="70"/>
      <c r="N6" s="71"/>
    </row>
    <row r="7" spans="2:14" ht="23.25" customHeight="1" x14ac:dyDescent="0.25">
      <c r="B7" s="55"/>
      <c r="C7" s="55"/>
      <c r="D7" s="22" t="s">
        <v>3</v>
      </c>
      <c r="E7" s="72" t="s">
        <v>76</v>
      </c>
      <c r="F7" s="73"/>
      <c r="G7" s="73"/>
      <c r="H7" s="73"/>
      <c r="I7" s="73"/>
      <c r="J7" s="73"/>
      <c r="K7" s="73"/>
      <c r="L7" s="73"/>
      <c r="M7" s="73"/>
      <c r="N7" s="74"/>
    </row>
    <row r="8" spans="2:14" ht="45.75" x14ac:dyDescent="0.25">
      <c r="B8" s="56"/>
      <c r="C8" s="63"/>
      <c r="D8" s="22" t="s">
        <v>4</v>
      </c>
      <c r="E8" s="21" t="s">
        <v>5</v>
      </c>
      <c r="F8" s="21"/>
      <c r="G8" s="21" t="s">
        <v>6</v>
      </c>
      <c r="H8" s="21"/>
      <c r="I8" s="21" t="s">
        <v>7</v>
      </c>
      <c r="J8" s="21"/>
      <c r="K8" s="21" t="s">
        <v>8</v>
      </c>
      <c r="L8" s="21"/>
      <c r="M8" s="21"/>
      <c r="N8" s="39" t="s">
        <v>9</v>
      </c>
    </row>
    <row r="9" spans="2:14" ht="21" customHeight="1" x14ac:dyDescent="0.4">
      <c r="B9" s="26">
        <v>1</v>
      </c>
      <c r="C9" s="25"/>
      <c r="D9" s="32" t="s">
        <v>33</v>
      </c>
      <c r="E9" s="33"/>
      <c r="F9" s="34" t="e">
        <f>VLOOKUP(Planning!E9,Setting!$C$3:$D$7,2,0)</f>
        <v>#N/A</v>
      </c>
      <c r="G9" s="33"/>
      <c r="H9" s="34" t="e">
        <f>VLOOKUP(Planning!G9,Setting!$F$3:$G$7,2,0)</f>
        <v>#N/A</v>
      </c>
      <c r="I9" s="33"/>
      <c r="J9" s="20" t="e">
        <f>VLOOKUP(Planning!I9,Setting!$I$3:$J$7,2,0)</f>
        <v>#N/A</v>
      </c>
      <c r="K9" s="45"/>
      <c r="L9" s="50">
        <v>142</v>
      </c>
      <c r="M9" s="37" t="e">
        <f>F9*H9*J9</f>
        <v>#N/A</v>
      </c>
      <c r="N9" s="53">
        <f>_xlfn.IFNA(M9,0)+K9+L9</f>
        <v>142</v>
      </c>
    </row>
    <row r="10" spans="2:14" ht="21" customHeight="1" x14ac:dyDescent="0.4">
      <c r="B10" s="25">
        <f>B9+1</f>
        <v>2</v>
      </c>
      <c r="C10" s="25">
        <v>1</v>
      </c>
      <c r="D10" s="32" t="s">
        <v>34</v>
      </c>
      <c r="E10" s="33" t="s">
        <v>27</v>
      </c>
      <c r="F10" s="34">
        <f>VLOOKUP(Planning!E10,Setting!$C$3:$D$7,2,0)</f>
        <v>4</v>
      </c>
      <c r="G10" s="33" t="s">
        <v>28</v>
      </c>
      <c r="H10" s="34">
        <f>VLOOKUP(Planning!G10,Setting!$F$3:$G$7,2,0)</f>
        <v>4</v>
      </c>
      <c r="I10" s="33" t="s">
        <v>26</v>
      </c>
      <c r="J10" s="20">
        <f>VLOOKUP(Planning!I10,Setting!$I$3:$J$7,2,0)</f>
        <v>3</v>
      </c>
      <c r="K10" s="38"/>
      <c r="L10" s="48">
        <v>0</v>
      </c>
      <c r="M10" s="37">
        <f t="shared" ref="M10:M73" si="0">F10*H10*J10</f>
        <v>48</v>
      </c>
      <c r="N10" s="52">
        <f t="shared" ref="N10:N73" si="1">_xlfn.IFNA(M10,0)+K10+L10</f>
        <v>48</v>
      </c>
    </row>
    <row r="11" spans="2:14" ht="21" customHeight="1" x14ac:dyDescent="0.4">
      <c r="B11" s="25">
        <f t="shared" ref="B11:B74" si="2">B10+1</f>
        <v>3</v>
      </c>
      <c r="C11" s="25">
        <v>1</v>
      </c>
      <c r="D11" s="32" t="s">
        <v>35</v>
      </c>
      <c r="E11" s="33" t="s">
        <v>27</v>
      </c>
      <c r="F11" s="34">
        <f>VLOOKUP(Planning!E11,Setting!$C$3:$D$7,2,0)</f>
        <v>4</v>
      </c>
      <c r="G11" s="33" t="s">
        <v>25</v>
      </c>
      <c r="H11" s="34">
        <f>VLOOKUP(Planning!G11,Setting!$F$3:$G$7,2,0)</f>
        <v>3</v>
      </c>
      <c r="I11" s="33" t="s">
        <v>23</v>
      </c>
      <c r="J11" s="20">
        <f>VLOOKUP(Planning!I11,Setting!$I$3:$J$7,2,0)</f>
        <v>2</v>
      </c>
      <c r="K11" s="38"/>
      <c r="L11" s="48">
        <v>0</v>
      </c>
      <c r="M11" s="37">
        <f t="shared" si="0"/>
        <v>24</v>
      </c>
      <c r="N11" s="52">
        <f t="shared" si="1"/>
        <v>24</v>
      </c>
    </row>
    <row r="12" spans="2:14" ht="21" customHeight="1" x14ac:dyDescent="0.4">
      <c r="B12" s="25">
        <f t="shared" si="2"/>
        <v>4</v>
      </c>
      <c r="C12" s="25">
        <v>1</v>
      </c>
      <c r="D12" s="32" t="s">
        <v>36</v>
      </c>
      <c r="E12" s="33"/>
      <c r="F12" s="34" t="e">
        <f>VLOOKUP(Planning!E12,Setting!$C$3:$D$7,2,0)</f>
        <v>#N/A</v>
      </c>
      <c r="G12" s="33"/>
      <c r="H12" s="34" t="e">
        <f>VLOOKUP(Planning!G12,Setting!$F$3:$G$7,2,0)</f>
        <v>#N/A</v>
      </c>
      <c r="I12" s="33"/>
      <c r="J12" s="20" t="e">
        <f>VLOOKUP(Planning!I12,Setting!$I$3:$J$7,2,0)</f>
        <v>#N/A</v>
      </c>
      <c r="K12" s="38"/>
      <c r="L12" s="51">
        <v>16</v>
      </c>
      <c r="M12" s="37" t="e">
        <f t="shared" si="0"/>
        <v>#N/A</v>
      </c>
      <c r="N12" s="53">
        <f t="shared" si="1"/>
        <v>16</v>
      </c>
    </row>
    <row r="13" spans="2:14" ht="21" customHeight="1" x14ac:dyDescent="0.4">
      <c r="B13" s="25">
        <f t="shared" si="2"/>
        <v>5</v>
      </c>
      <c r="C13" s="25">
        <v>4</v>
      </c>
      <c r="D13" s="32" t="s">
        <v>37</v>
      </c>
      <c r="E13" s="33" t="s">
        <v>27</v>
      </c>
      <c r="F13" s="34">
        <f>VLOOKUP(Planning!E13,Setting!$C$3:$D$7,2,0)</f>
        <v>4</v>
      </c>
      <c r="G13" s="33" t="s">
        <v>22</v>
      </c>
      <c r="H13" s="34">
        <f>VLOOKUP(Planning!G13,Setting!$F$3:$G$7,2,0)</f>
        <v>2</v>
      </c>
      <c r="I13" s="33" t="s">
        <v>23</v>
      </c>
      <c r="J13" s="20">
        <f>VLOOKUP(Planning!I13,Setting!$I$3:$J$7,2,0)</f>
        <v>2</v>
      </c>
      <c r="K13" s="38"/>
      <c r="L13" s="48">
        <v>0</v>
      </c>
      <c r="M13" s="37">
        <f t="shared" si="0"/>
        <v>16</v>
      </c>
      <c r="N13" s="52">
        <f t="shared" si="1"/>
        <v>16</v>
      </c>
    </row>
    <row r="14" spans="2:14" ht="21" customHeight="1" x14ac:dyDescent="0.4">
      <c r="B14" s="25">
        <f t="shared" si="2"/>
        <v>6</v>
      </c>
      <c r="C14" s="25">
        <v>1</v>
      </c>
      <c r="D14" s="32" t="s">
        <v>38</v>
      </c>
      <c r="E14" s="33" t="s">
        <v>24</v>
      </c>
      <c r="F14" s="34">
        <f>VLOOKUP(Planning!E14,Setting!$C$3:$D$7,2,0)</f>
        <v>3</v>
      </c>
      <c r="G14" s="33" t="s">
        <v>22</v>
      </c>
      <c r="H14" s="34">
        <f>VLOOKUP(Planning!G14,Setting!$F$3:$G$7,2,0)</f>
        <v>2</v>
      </c>
      <c r="I14" s="33" t="s">
        <v>20</v>
      </c>
      <c r="J14" s="20">
        <f>VLOOKUP(Planning!I14,Setting!$I$3:$J$7,2,0)</f>
        <v>1</v>
      </c>
      <c r="K14" s="38"/>
      <c r="L14" s="48">
        <v>0</v>
      </c>
      <c r="M14" s="37">
        <f t="shared" si="0"/>
        <v>6</v>
      </c>
      <c r="N14" s="52">
        <f t="shared" si="1"/>
        <v>6</v>
      </c>
    </row>
    <row r="15" spans="2:14" ht="21" customHeight="1" x14ac:dyDescent="0.4">
      <c r="B15" s="25">
        <f t="shared" si="2"/>
        <v>7</v>
      </c>
      <c r="C15" s="25">
        <v>1</v>
      </c>
      <c r="D15" s="32" t="s">
        <v>39</v>
      </c>
      <c r="E15" s="33"/>
      <c r="F15" s="34" t="e">
        <f>VLOOKUP(Planning!E15,Setting!$C$3:$D$7,2,0)</f>
        <v>#N/A</v>
      </c>
      <c r="G15" s="33"/>
      <c r="H15" s="34" t="e">
        <f>VLOOKUP(Planning!G15,Setting!$F$3:$G$7,2,0)</f>
        <v>#N/A</v>
      </c>
      <c r="I15" s="33"/>
      <c r="J15" s="20" t="e">
        <f>VLOOKUP(Planning!I15,Setting!$I$3:$J$7,2,0)</f>
        <v>#N/A</v>
      </c>
      <c r="K15" s="38"/>
      <c r="L15" s="51">
        <v>8</v>
      </c>
      <c r="M15" s="37" t="e">
        <f t="shared" si="0"/>
        <v>#N/A</v>
      </c>
      <c r="N15" s="53">
        <f t="shared" si="1"/>
        <v>8</v>
      </c>
    </row>
    <row r="16" spans="2:14" ht="21" customHeight="1" x14ac:dyDescent="0.4">
      <c r="B16" s="25">
        <f t="shared" si="2"/>
        <v>8</v>
      </c>
      <c r="C16" s="25">
        <v>7</v>
      </c>
      <c r="D16" s="32" t="s">
        <v>40</v>
      </c>
      <c r="E16" s="33" t="s">
        <v>21</v>
      </c>
      <c r="F16" s="34">
        <f>VLOOKUP(Planning!E16,Setting!$C$3:$D$7,2,0)</f>
        <v>2</v>
      </c>
      <c r="G16" s="33" t="s">
        <v>22</v>
      </c>
      <c r="H16" s="34">
        <f>VLOOKUP(Planning!G16,Setting!$F$3:$G$7,2,0)</f>
        <v>2</v>
      </c>
      <c r="I16" s="33" t="s">
        <v>23</v>
      </c>
      <c r="J16" s="20">
        <f>VLOOKUP(Planning!I16,Setting!$I$3:$J$7,2,0)</f>
        <v>2</v>
      </c>
      <c r="K16" s="38"/>
      <c r="L16" s="48">
        <v>0</v>
      </c>
      <c r="M16" s="37">
        <f t="shared" si="0"/>
        <v>8</v>
      </c>
      <c r="N16" s="52">
        <f t="shared" si="1"/>
        <v>8</v>
      </c>
    </row>
    <row r="17" spans="2:14" ht="21" customHeight="1" x14ac:dyDescent="0.4">
      <c r="B17" s="25">
        <f t="shared" si="2"/>
        <v>9</v>
      </c>
      <c r="C17" s="25">
        <v>1</v>
      </c>
      <c r="D17" s="32" t="s">
        <v>41</v>
      </c>
      <c r="E17" s="33"/>
      <c r="F17" s="34" t="e">
        <f>VLOOKUP(Planning!E17,Setting!$C$3:$D$7,2,0)</f>
        <v>#N/A</v>
      </c>
      <c r="G17" s="33"/>
      <c r="H17" s="34" t="e">
        <f>VLOOKUP(Planning!G17,Setting!$F$3:$G$7,2,0)</f>
        <v>#N/A</v>
      </c>
      <c r="I17" s="33"/>
      <c r="J17" s="20" t="e">
        <f>VLOOKUP(Planning!I17,Setting!$I$3:$J$7,2,0)</f>
        <v>#N/A</v>
      </c>
      <c r="K17" s="38"/>
      <c r="L17" s="51">
        <v>40</v>
      </c>
      <c r="M17" s="37" t="e">
        <f t="shared" si="0"/>
        <v>#N/A</v>
      </c>
      <c r="N17" s="53">
        <f t="shared" si="1"/>
        <v>40</v>
      </c>
    </row>
    <row r="18" spans="2:14" ht="21" customHeight="1" x14ac:dyDescent="0.4">
      <c r="B18" s="25">
        <f t="shared" si="2"/>
        <v>10</v>
      </c>
      <c r="C18" s="25">
        <v>9</v>
      </c>
      <c r="D18" s="32" t="s">
        <v>42</v>
      </c>
      <c r="E18" s="33" t="s">
        <v>21</v>
      </c>
      <c r="F18" s="34">
        <f>VLOOKUP(Planning!E18,Setting!$C$3:$D$7,2,0)</f>
        <v>2</v>
      </c>
      <c r="G18" s="33" t="s">
        <v>22</v>
      </c>
      <c r="H18" s="34">
        <f>VLOOKUP(Planning!G18,Setting!$F$3:$G$7,2,0)</f>
        <v>2</v>
      </c>
      <c r="I18" s="33" t="s">
        <v>32</v>
      </c>
      <c r="J18" s="20">
        <f>VLOOKUP(Planning!I18,Setting!$I$3:$J$7,2,0)</f>
        <v>5</v>
      </c>
      <c r="K18" s="38"/>
      <c r="L18" s="48">
        <v>0</v>
      </c>
      <c r="M18" s="37">
        <f t="shared" si="0"/>
        <v>20</v>
      </c>
      <c r="N18" s="52">
        <f t="shared" si="1"/>
        <v>20</v>
      </c>
    </row>
    <row r="19" spans="2:14" ht="21" customHeight="1" x14ac:dyDescent="0.4">
      <c r="B19" s="25">
        <f t="shared" si="2"/>
        <v>11</v>
      </c>
      <c r="C19" s="25">
        <v>9</v>
      </c>
      <c r="D19" s="32" t="s">
        <v>43</v>
      </c>
      <c r="E19" s="33" t="s">
        <v>21</v>
      </c>
      <c r="F19" s="34">
        <f>VLOOKUP(Planning!E19,Setting!$C$3:$D$7,2,0)</f>
        <v>2</v>
      </c>
      <c r="G19" s="33" t="s">
        <v>22</v>
      </c>
      <c r="H19" s="34">
        <f>VLOOKUP(Planning!G19,Setting!$F$3:$G$7,2,0)</f>
        <v>2</v>
      </c>
      <c r="I19" s="33" t="s">
        <v>32</v>
      </c>
      <c r="J19" s="20">
        <f>VLOOKUP(Planning!I19,Setting!$I$3:$J$7,2,0)</f>
        <v>5</v>
      </c>
      <c r="K19" s="38"/>
      <c r="L19" s="48">
        <v>0</v>
      </c>
      <c r="M19" s="37">
        <f t="shared" si="0"/>
        <v>20</v>
      </c>
      <c r="N19" s="52">
        <f t="shared" si="1"/>
        <v>20</v>
      </c>
    </row>
    <row r="20" spans="2:14" ht="21" customHeight="1" x14ac:dyDescent="0.4">
      <c r="B20" s="25">
        <f t="shared" si="2"/>
        <v>12</v>
      </c>
      <c r="C20" s="25"/>
      <c r="D20" s="32" t="s">
        <v>44</v>
      </c>
      <c r="E20" s="33"/>
      <c r="F20" s="34" t="e">
        <f>VLOOKUP(Planning!E20,Setting!$C$3:$D$7,2,0)</f>
        <v>#N/A</v>
      </c>
      <c r="G20" s="33"/>
      <c r="H20" s="34" t="e">
        <f>VLOOKUP(Planning!G20,Setting!$F$3:$G$7,2,0)</f>
        <v>#N/A</v>
      </c>
      <c r="I20" s="33"/>
      <c r="J20" s="20" t="e">
        <f>VLOOKUP(Planning!I20,Setting!$I$3:$J$7,2,0)</f>
        <v>#N/A</v>
      </c>
      <c r="K20" s="38"/>
      <c r="L20" s="51">
        <v>190</v>
      </c>
      <c r="M20" s="37" t="e">
        <f t="shared" si="0"/>
        <v>#N/A</v>
      </c>
      <c r="N20" s="53">
        <f t="shared" si="1"/>
        <v>190</v>
      </c>
    </row>
    <row r="21" spans="2:14" ht="21" customHeight="1" x14ac:dyDescent="0.4">
      <c r="B21" s="25">
        <f t="shared" si="2"/>
        <v>13</v>
      </c>
      <c r="C21" s="25">
        <v>12</v>
      </c>
      <c r="D21" s="32" t="s">
        <v>45</v>
      </c>
      <c r="E21" s="33" t="s">
        <v>30</v>
      </c>
      <c r="F21" s="34">
        <f>VLOOKUP(Planning!E21,Setting!$C$3:$D$7,2,0)</f>
        <v>5</v>
      </c>
      <c r="G21" s="33" t="s">
        <v>28</v>
      </c>
      <c r="H21" s="34">
        <f>VLOOKUP(Planning!G21,Setting!$F$3:$G$7,2,0)</f>
        <v>4</v>
      </c>
      <c r="I21" s="33" t="s">
        <v>29</v>
      </c>
      <c r="J21" s="20">
        <f>VLOOKUP(Planning!I21,Setting!$I$3:$J$7,2,0)</f>
        <v>4</v>
      </c>
      <c r="K21" s="38"/>
      <c r="L21" s="48">
        <v>0</v>
      </c>
      <c r="M21" s="37">
        <f t="shared" si="0"/>
        <v>80</v>
      </c>
      <c r="N21" s="52">
        <f t="shared" si="1"/>
        <v>80</v>
      </c>
    </row>
    <row r="22" spans="2:14" ht="21" customHeight="1" x14ac:dyDescent="0.4">
      <c r="B22" s="25">
        <f t="shared" si="2"/>
        <v>14</v>
      </c>
      <c r="C22" s="25">
        <v>12</v>
      </c>
      <c r="D22" s="32" t="s">
        <v>46</v>
      </c>
      <c r="E22" s="33" t="s">
        <v>30</v>
      </c>
      <c r="F22" s="34">
        <f>VLOOKUP(Planning!E22,Setting!$C$3:$D$7,2,0)</f>
        <v>5</v>
      </c>
      <c r="G22" s="33" t="s">
        <v>22</v>
      </c>
      <c r="H22" s="34">
        <f>VLOOKUP(Planning!G22,Setting!$F$3:$G$7,2,0)</f>
        <v>2</v>
      </c>
      <c r="I22" s="33" t="s">
        <v>20</v>
      </c>
      <c r="J22" s="20">
        <f>VLOOKUP(Planning!I22,Setting!$I$3:$J$7,2,0)</f>
        <v>1</v>
      </c>
      <c r="K22" s="38"/>
      <c r="L22" s="48">
        <v>0</v>
      </c>
      <c r="M22" s="37">
        <f t="shared" si="0"/>
        <v>10</v>
      </c>
      <c r="N22" s="52">
        <f t="shared" si="1"/>
        <v>10</v>
      </c>
    </row>
    <row r="23" spans="2:14" ht="21" customHeight="1" x14ac:dyDescent="0.4">
      <c r="B23" s="25">
        <f t="shared" si="2"/>
        <v>15</v>
      </c>
      <c r="C23" s="25">
        <v>12</v>
      </c>
      <c r="D23" s="32" t="s">
        <v>47</v>
      </c>
      <c r="E23" s="33" t="s">
        <v>30</v>
      </c>
      <c r="F23" s="34">
        <f>VLOOKUP(Planning!E23,Setting!$C$3:$D$7,2,0)</f>
        <v>5</v>
      </c>
      <c r="G23" s="33" t="s">
        <v>31</v>
      </c>
      <c r="H23" s="34">
        <f>VLOOKUP(Planning!G23,Setting!$F$3:$G$7,2,0)</f>
        <v>5</v>
      </c>
      <c r="I23" s="33" t="s">
        <v>29</v>
      </c>
      <c r="J23" s="20">
        <f>VLOOKUP(Planning!I23,Setting!$I$3:$J$7,2,0)</f>
        <v>4</v>
      </c>
      <c r="K23" s="38"/>
      <c r="L23" s="48">
        <v>0</v>
      </c>
      <c r="M23" s="37">
        <f t="shared" si="0"/>
        <v>100</v>
      </c>
      <c r="N23" s="52">
        <f t="shared" si="1"/>
        <v>100</v>
      </c>
    </row>
    <row r="24" spans="2:14" ht="21" customHeight="1" x14ac:dyDescent="0.4">
      <c r="B24" s="25">
        <f t="shared" si="2"/>
        <v>16</v>
      </c>
      <c r="C24" s="25"/>
      <c r="D24" s="32" t="s">
        <v>48</v>
      </c>
      <c r="E24" s="33"/>
      <c r="F24" s="34" t="e">
        <f>VLOOKUP(Planning!E24,Setting!$C$3:$D$7,2,0)</f>
        <v>#N/A</v>
      </c>
      <c r="G24" s="33"/>
      <c r="H24" s="34" t="e">
        <f>VLOOKUP(Planning!G24,Setting!$F$3:$G$7,2,0)</f>
        <v>#N/A</v>
      </c>
      <c r="I24" s="33"/>
      <c r="J24" s="20" t="e">
        <f>VLOOKUP(Planning!I24,Setting!$I$3:$J$7,2,0)</f>
        <v>#N/A</v>
      </c>
      <c r="K24" s="38"/>
      <c r="L24" s="51">
        <v>8</v>
      </c>
      <c r="M24" s="37" t="e">
        <f t="shared" si="0"/>
        <v>#N/A</v>
      </c>
      <c r="N24" s="53">
        <f t="shared" si="1"/>
        <v>8</v>
      </c>
    </row>
    <row r="25" spans="2:14" ht="21" customHeight="1" x14ac:dyDescent="0.4">
      <c r="B25" s="25">
        <f t="shared" si="2"/>
        <v>17</v>
      </c>
      <c r="C25" s="25">
        <v>16</v>
      </c>
      <c r="D25" s="32" t="s">
        <v>49</v>
      </c>
      <c r="E25" s="33" t="s">
        <v>21</v>
      </c>
      <c r="F25" s="34">
        <f>VLOOKUP(Planning!E25,Setting!$C$3:$D$7,2,0)</f>
        <v>2</v>
      </c>
      <c r="G25" s="33" t="s">
        <v>22</v>
      </c>
      <c r="H25" s="34">
        <f>VLOOKUP(Planning!G25,Setting!$F$3:$G$7,2,0)</f>
        <v>2</v>
      </c>
      <c r="I25" s="33" t="s">
        <v>20</v>
      </c>
      <c r="J25" s="20">
        <f>VLOOKUP(Planning!I25,Setting!$I$3:$J$7,2,0)</f>
        <v>1</v>
      </c>
      <c r="K25" s="38"/>
      <c r="L25" s="48">
        <v>0</v>
      </c>
      <c r="M25" s="37">
        <f t="shared" si="0"/>
        <v>4</v>
      </c>
      <c r="N25" s="52">
        <f t="shared" si="1"/>
        <v>4</v>
      </c>
    </row>
    <row r="26" spans="2:14" ht="21" customHeight="1" x14ac:dyDescent="0.4">
      <c r="B26" s="25">
        <f t="shared" si="2"/>
        <v>18</v>
      </c>
      <c r="C26" s="25">
        <v>16</v>
      </c>
      <c r="D26" s="32" t="s">
        <v>50</v>
      </c>
      <c r="E26" s="33" t="s">
        <v>21</v>
      </c>
      <c r="F26" s="34">
        <f>VLOOKUP(Planning!E26,Setting!$C$3:$D$7,2,0)</f>
        <v>2</v>
      </c>
      <c r="G26" s="33" t="s">
        <v>22</v>
      </c>
      <c r="H26" s="34">
        <f>VLOOKUP(Planning!G26,Setting!$F$3:$G$7,2,0)</f>
        <v>2</v>
      </c>
      <c r="I26" s="33" t="s">
        <v>20</v>
      </c>
      <c r="J26" s="20">
        <f>VLOOKUP(Planning!I26,Setting!$I$3:$J$7,2,0)</f>
        <v>1</v>
      </c>
      <c r="K26" s="38"/>
      <c r="L26" s="48">
        <v>0</v>
      </c>
      <c r="M26" s="37">
        <f t="shared" si="0"/>
        <v>4</v>
      </c>
      <c r="N26" s="52">
        <f t="shared" si="1"/>
        <v>4</v>
      </c>
    </row>
    <row r="27" spans="2:14" ht="21" customHeight="1" x14ac:dyDescent="0.4">
      <c r="B27" s="25">
        <f t="shared" si="2"/>
        <v>19</v>
      </c>
      <c r="C27" s="25"/>
      <c r="D27" s="32" t="s">
        <v>51</v>
      </c>
      <c r="E27" s="33"/>
      <c r="F27" s="34" t="e">
        <f>VLOOKUP(Planning!E27,Setting!$C$3:$D$7,2,0)</f>
        <v>#N/A</v>
      </c>
      <c r="G27" s="33"/>
      <c r="H27" s="34" t="e">
        <f>VLOOKUP(Planning!G27,Setting!$F$3:$G$7,2,0)</f>
        <v>#N/A</v>
      </c>
      <c r="I27" s="33"/>
      <c r="J27" s="20" t="e">
        <f>VLOOKUP(Planning!I27,Setting!$I$3:$J$7,2,0)</f>
        <v>#N/A</v>
      </c>
      <c r="K27" s="38"/>
      <c r="L27" s="51">
        <v>8</v>
      </c>
      <c r="M27" s="37" t="e">
        <f t="shared" si="0"/>
        <v>#N/A</v>
      </c>
      <c r="N27" s="53">
        <f t="shared" si="1"/>
        <v>8</v>
      </c>
    </row>
    <row r="28" spans="2:14" ht="21" customHeight="1" x14ac:dyDescent="0.4">
      <c r="B28" s="25">
        <f t="shared" si="2"/>
        <v>20</v>
      </c>
      <c r="C28" s="25">
        <v>19</v>
      </c>
      <c r="D28" s="32" t="s">
        <v>52</v>
      </c>
      <c r="E28" s="33" t="s">
        <v>21</v>
      </c>
      <c r="F28" s="34">
        <f>VLOOKUP(Planning!E28,Setting!$C$3:$D$7,2,0)</f>
        <v>2</v>
      </c>
      <c r="G28" s="33" t="s">
        <v>22</v>
      </c>
      <c r="H28" s="34">
        <f>VLOOKUP(Planning!G28,Setting!$F$3:$G$7,2,0)</f>
        <v>2</v>
      </c>
      <c r="I28" s="33" t="s">
        <v>23</v>
      </c>
      <c r="J28" s="20">
        <f>VLOOKUP(Planning!I28,Setting!$I$3:$J$7,2,0)</f>
        <v>2</v>
      </c>
      <c r="K28" s="38"/>
      <c r="L28" s="48">
        <v>0</v>
      </c>
      <c r="M28" s="37">
        <f t="shared" si="0"/>
        <v>8</v>
      </c>
      <c r="N28" s="52">
        <f t="shared" si="1"/>
        <v>8</v>
      </c>
    </row>
    <row r="29" spans="2:14" ht="21" customHeight="1" x14ac:dyDescent="0.4">
      <c r="B29" s="25">
        <f t="shared" si="2"/>
        <v>21</v>
      </c>
      <c r="C29" s="25"/>
      <c r="D29" s="32" t="s">
        <v>53</v>
      </c>
      <c r="E29" s="33"/>
      <c r="F29" s="34" t="e">
        <f>VLOOKUP(Planning!E29,Setting!$C$3:$D$7,2,0)</f>
        <v>#N/A</v>
      </c>
      <c r="G29" s="33"/>
      <c r="H29" s="34" t="e">
        <f>VLOOKUP(Planning!G29,Setting!$F$3:$G$7,2,0)</f>
        <v>#N/A</v>
      </c>
      <c r="I29" s="33"/>
      <c r="J29" s="20" t="e">
        <f>VLOOKUP(Planning!I29,Setting!$I$3:$J$7,2,0)</f>
        <v>#N/A</v>
      </c>
      <c r="K29" s="38"/>
      <c r="L29" s="51">
        <v>8</v>
      </c>
      <c r="M29" s="37" t="e">
        <f t="shared" si="0"/>
        <v>#N/A</v>
      </c>
      <c r="N29" s="53">
        <f t="shared" si="1"/>
        <v>8</v>
      </c>
    </row>
    <row r="30" spans="2:14" ht="21" customHeight="1" x14ac:dyDescent="0.4">
      <c r="B30" s="25">
        <f t="shared" si="2"/>
        <v>22</v>
      </c>
      <c r="C30" s="25">
        <v>21</v>
      </c>
      <c r="D30" s="32" t="s">
        <v>54</v>
      </c>
      <c r="E30" s="33" t="s">
        <v>21</v>
      </c>
      <c r="F30" s="34">
        <f>VLOOKUP(Planning!E30,Setting!$C$3:$D$7,2,0)</f>
        <v>2</v>
      </c>
      <c r="G30" s="33" t="s">
        <v>22</v>
      </c>
      <c r="H30" s="34">
        <f>VLOOKUP(Planning!G30,Setting!$F$3:$G$7,2,0)</f>
        <v>2</v>
      </c>
      <c r="I30" s="33" t="s">
        <v>23</v>
      </c>
      <c r="J30" s="20">
        <f>VLOOKUP(Planning!I30,Setting!$I$3:$J$7,2,0)</f>
        <v>2</v>
      </c>
      <c r="K30" s="38"/>
      <c r="L30" s="48">
        <v>0</v>
      </c>
      <c r="M30" s="37">
        <f t="shared" si="0"/>
        <v>8</v>
      </c>
      <c r="N30" s="52">
        <f t="shared" si="1"/>
        <v>8</v>
      </c>
    </row>
    <row r="31" spans="2:14" ht="21" customHeight="1" x14ac:dyDescent="0.4">
      <c r="B31" s="25">
        <f t="shared" si="2"/>
        <v>23</v>
      </c>
      <c r="C31" s="25"/>
      <c r="D31" s="32" t="s">
        <v>55</v>
      </c>
      <c r="E31" s="33"/>
      <c r="F31" s="34" t="e">
        <f>VLOOKUP(Planning!E31,Setting!$C$3:$D$7,2,0)</f>
        <v>#N/A</v>
      </c>
      <c r="G31" s="33"/>
      <c r="H31" s="34" t="e">
        <f>VLOOKUP(Planning!G31,Setting!$F$3:$G$7,2,0)</f>
        <v>#N/A</v>
      </c>
      <c r="I31" s="33"/>
      <c r="J31" s="20" t="e">
        <f>VLOOKUP(Planning!I31,Setting!$I$3:$J$7,2,0)</f>
        <v>#N/A</v>
      </c>
      <c r="K31" s="38"/>
      <c r="L31" s="51">
        <v>8</v>
      </c>
      <c r="M31" s="37" t="e">
        <f t="shared" si="0"/>
        <v>#N/A</v>
      </c>
      <c r="N31" s="53">
        <f t="shared" si="1"/>
        <v>8</v>
      </c>
    </row>
    <row r="32" spans="2:14" ht="21" customHeight="1" x14ac:dyDescent="0.4">
      <c r="B32" s="25">
        <f t="shared" si="2"/>
        <v>24</v>
      </c>
      <c r="C32" s="25">
        <v>23</v>
      </c>
      <c r="D32" s="32" t="s">
        <v>56</v>
      </c>
      <c r="E32" s="33" t="s">
        <v>27</v>
      </c>
      <c r="F32" s="34">
        <f>VLOOKUP(Planning!E32,Setting!$C$3:$D$7,2,0)</f>
        <v>4</v>
      </c>
      <c r="G32" s="33" t="s">
        <v>22</v>
      </c>
      <c r="H32" s="34">
        <f>VLOOKUP(Planning!G32,Setting!$F$3:$G$7,2,0)</f>
        <v>2</v>
      </c>
      <c r="I32" s="33" t="s">
        <v>20</v>
      </c>
      <c r="J32" s="20">
        <f>VLOOKUP(Planning!I32,Setting!$I$3:$J$7,2,0)</f>
        <v>1</v>
      </c>
      <c r="K32" s="38"/>
      <c r="L32" s="48">
        <v>0</v>
      </c>
      <c r="M32" s="37">
        <f t="shared" si="0"/>
        <v>8</v>
      </c>
      <c r="N32" s="52">
        <f t="shared" si="1"/>
        <v>8</v>
      </c>
    </row>
    <row r="33" spans="2:14" ht="21" customHeight="1" x14ac:dyDescent="0.4">
      <c r="B33" s="25">
        <f t="shared" si="2"/>
        <v>25</v>
      </c>
      <c r="C33" s="25"/>
      <c r="D33" s="32" t="s">
        <v>57</v>
      </c>
      <c r="E33" s="33"/>
      <c r="F33" s="34" t="e">
        <f>VLOOKUP(Planning!E33,Setting!$C$3:$D$7,2,0)</f>
        <v>#N/A</v>
      </c>
      <c r="G33" s="33"/>
      <c r="H33" s="34" t="e">
        <f>VLOOKUP(Planning!G33,Setting!$F$3:$G$7,2,0)</f>
        <v>#N/A</v>
      </c>
      <c r="I33" s="33"/>
      <c r="J33" s="20" t="e">
        <f>VLOOKUP(Planning!I33,Setting!$I$3:$J$7,2,0)</f>
        <v>#N/A</v>
      </c>
      <c r="K33" s="38"/>
      <c r="L33" s="51">
        <v>20</v>
      </c>
      <c r="M33" s="37" t="e">
        <f t="shared" si="0"/>
        <v>#N/A</v>
      </c>
      <c r="N33" s="53">
        <f t="shared" si="1"/>
        <v>20</v>
      </c>
    </row>
    <row r="34" spans="2:14" ht="21" customHeight="1" x14ac:dyDescent="0.4">
      <c r="B34" s="25">
        <f t="shared" si="2"/>
        <v>26</v>
      </c>
      <c r="C34" s="25">
        <v>25</v>
      </c>
      <c r="D34" s="32" t="s">
        <v>58</v>
      </c>
      <c r="E34" s="33" t="s">
        <v>30</v>
      </c>
      <c r="F34" s="34">
        <f>VLOOKUP(Planning!E34,Setting!$C$3:$D$7,2,0)</f>
        <v>5</v>
      </c>
      <c r="G34" s="33" t="s">
        <v>22</v>
      </c>
      <c r="H34" s="34">
        <f>VLOOKUP(Planning!G34,Setting!$F$3:$G$7,2,0)</f>
        <v>2</v>
      </c>
      <c r="I34" s="33" t="s">
        <v>20</v>
      </c>
      <c r="J34" s="20">
        <f>VLOOKUP(Planning!I34,Setting!$I$3:$J$7,2,0)</f>
        <v>1</v>
      </c>
      <c r="K34" s="38"/>
      <c r="L34" s="48">
        <v>0</v>
      </c>
      <c r="M34" s="37">
        <f t="shared" si="0"/>
        <v>10</v>
      </c>
      <c r="N34" s="52">
        <f t="shared" si="1"/>
        <v>10</v>
      </c>
    </row>
    <row r="35" spans="2:14" ht="21" customHeight="1" x14ac:dyDescent="0.4">
      <c r="B35" s="25">
        <f t="shared" si="2"/>
        <v>27</v>
      </c>
      <c r="C35" s="25">
        <v>25</v>
      </c>
      <c r="D35" s="32" t="s">
        <v>59</v>
      </c>
      <c r="E35" s="33" t="s">
        <v>30</v>
      </c>
      <c r="F35" s="34">
        <f>VLOOKUP(Planning!E35,Setting!$C$3:$D$7,2,0)</f>
        <v>5</v>
      </c>
      <c r="G35" s="33" t="s">
        <v>22</v>
      </c>
      <c r="H35" s="34">
        <f>VLOOKUP(Planning!G35,Setting!$F$3:$G$7,2,0)</f>
        <v>2</v>
      </c>
      <c r="I35" s="33" t="s">
        <v>20</v>
      </c>
      <c r="J35" s="20">
        <f>VLOOKUP(Planning!I35,Setting!$I$3:$J$7,2,0)</f>
        <v>1</v>
      </c>
      <c r="K35" s="38"/>
      <c r="L35" s="48">
        <v>0</v>
      </c>
      <c r="M35" s="37">
        <f t="shared" si="0"/>
        <v>10</v>
      </c>
      <c r="N35" s="52">
        <f t="shared" si="1"/>
        <v>10</v>
      </c>
    </row>
    <row r="36" spans="2:14" ht="21" customHeight="1" x14ac:dyDescent="0.4">
      <c r="B36" s="25">
        <f t="shared" si="2"/>
        <v>28</v>
      </c>
      <c r="C36" s="25"/>
      <c r="D36" s="32" t="s">
        <v>60</v>
      </c>
      <c r="E36" s="33"/>
      <c r="F36" s="34" t="e">
        <f>VLOOKUP(Planning!E36,Setting!$C$3:$D$7,2,0)</f>
        <v>#N/A</v>
      </c>
      <c r="G36" s="33"/>
      <c r="H36" s="34" t="e">
        <f>VLOOKUP(Planning!G36,Setting!$F$3:$G$7,2,0)</f>
        <v>#N/A</v>
      </c>
      <c r="I36" s="33"/>
      <c r="J36" s="20" t="e">
        <f>VLOOKUP(Planning!I36,Setting!$I$3:$J$7,2,0)</f>
        <v>#N/A</v>
      </c>
      <c r="K36" s="38"/>
      <c r="L36" s="51">
        <v>82</v>
      </c>
      <c r="M36" s="37" t="e">
        <f t="shared" si="0"/>
        <v>#N/A</v>
      </c>
      <c r="N36" s="53">
        <f t="shared" si="1"/>
        <v>82</v>
      </c>
    </row>
    <row r="37" spans="2:14" ht="21" customHeight="1" x14ac:dyDescent="0.4">
      <c r="B37" s="25">
        <f t="shared" si="2"/>
        <v>29</v>
      </c>
      <c r="C37" s="25">
        <v>28</v>
      </c>
      <c r="D37" s="32" t="s">
        <v>61</v>
      </c>
      <c r="E37" s="33" t="s">
        <v>27</v>
      </c>
      <c r="F37" s="34">
        <f>VLOOKUP(Planning!E37,Setting!$C$3:$D$7,2,0)</f>
        <v>4</v>
      </c>
      <c r="G37" s="33" t="s">
        <v>22</v>
      </c>
      <c r="H37" s="34">
        <f>VLOOKUP(Planning!G37,Setting!$F$3:$G$7,2,0)</f>
        <v>2</v>
      </c>
      <c r="I37" s="33" t="s">
        <v>32</v>
      </c>
      <c r="J37" s="20">
        <f>VLOOKUP(Planning!I37,Setting!$I$3:$J$7,2,0)</f>
        <v>5</v>
      </c>
      <c r="K37" s="38"/>
      <c r="L37" s="48">
        <v>0</v>
      </c>
      <c r="M37" s="37">
        <f t="shared" si="0"/>
        <v>40</v>
      </c>
      <c r="N37" s="52">
        <f t="shared" si="1"/>
        <v>40</v>
      </c>
    </row>
    <row r="38" spans="2:14" ht="21" customHeight="1" x14ac:dyDescent="0.4">
      <c r="B38" s="25">
        <f t="shared" si="2"/>
        <v>30</v>
      </c>
      <c r="C38" s="25">
        <v>28</v>
      </c>
      <c r="D38" s="32" t="s">
        <v>62</v>
      </c>
      <c r="E38" s="33" t="s">
        <v>24</v>
      </c>
      <c r="F38" s="34">
        <f>VLOOKUP(Planning!E38,Setting!$C$3:$D$7,2,0)</f>
        <v>3</v>
      </c>
      <c r="G38" s="33" t="s">
        <v>22</v>
      </c>
      <c r="H38" s="34">
        <f>VLOOKUP(Planning!G38,Setting!$F$3:$G$7,2,0)</f>
        <v>2</v>
      </c>
      <c r="I38" s="33" t="s">
        <v>26</v>
      </c>
      <c r="J38" s="20">
        <f>VLOOKUP(Planning!I38,Setting!$I$3:$J$7,2,0)</f>
        <v>3</v>
      </c>
      <c r="K38" s="38"/>
      <c r="L38" s="48">
        <v>0</v>
      </c>
      <c r="M38" s="37">
        <f t="shared" si="0"/>
        <v>18</v>
      </c>
      <c r="N38" s="52">
        <f t="shared" si="1"/>
        <v>18</v>
      </c>
    </row>
    <row r="39" spans="2:14" ht="21" customHeight="1" x14ac:dyDescent="0.4">
      <c r="B39" s="25">
        <f t="shared" si="2"/>
        <v>31</v>
      </c>
      <c r="C39" s="25">
        <v>28</v>
      </c>
      <c r="D39" s="32" t="s">
        <v>63</v>
      </c>
      <c r="E39" s="33" t="s">
        <v>24</v>
      </c>
      <c r="F39" s="34">
        <f>VLOOKUP(Planning!E39,Setting!$C$3:$D$7,2,0)</f>
        <v>3</v>
      </c>
      <c r="G39" s="33" t="s">
        <v>22</v>
      </c>
      <c r="H39" s="34">
        <f>VLOOKUP(Planning!G39,Setting!$F$3:$G$7,2,0)</f>
        <v>2</v>
      </c>
      <c r="I39" s="33" t="s">
        <v>29</v>
      </c>
      <c r="J39" s="20">
        <f>VLOOKUP(Planning!I39,Setting!$I$3:$J$7,2,0)</f>
        <v>4</v>
      </c>
      <c r="K39" s="38"/>
      <c r="L39" s="48">
        <v>0</v>
      </c>
      <c r="M39" s="37">
        <f t="shared" si="0"/>
        <v>24</v>
      </c>
      <c r="N39" s="52">
        <f t="shared" si="1"/>
        <v>24</v>
      </c>
    </row>
    <row r="40" spans="2:14" ht="21" customHeight="1" x14ac:dyDescent="0.4">
      <c r="B40" s="25">
        <f t="shared" si="2"/>
        <v>32</v>
      </c>
      <c r="C40" s="25"/>
      <c r="D40" s="32" t="s">
        <v>64</v>
      </c>
      <c r="E40" s="33"/>
      <c r="F40" s="34" t="e">
        <f>VLOOKUP(Planning!E40,Setting!$C$3:$D$7,2,0)</f>
        <v>#N/A</v>
      </c>
      <c r="G40" s="33"/>
      <c r="H40" s="34" t="e">
        <f>VLOOKUP(Planning!G40,Setting!$F$3:$G$7,2,0)</f>
        <v>#N/A</v>
      </c>
      <c r="I40" s="33"/>
      <c r="J40" s="20" t="e">
        <f>VLOOKUP(Planning!I40,Setting!$I$3:$J$7,2,0)</f>
        <v>#N/A</v>
      </c>
      <c r="K40" s="38"/>
      <c r="L40" s="51">
        <v>106</v>
      </c>
      <c r="M40" s="37" t="e">
        <f t="shared" si="0"/>
        <v>#N/A</v>
      </c>
      <c r="N40" s="53">
        <f t="shared" si="1"/>
        <v>106</v>
      </c>
    </row>
    <row r="41" spans="2:14" ht="21" customHeight="1" x14ac:dyDescent="0.4">
      <c r="B41" s="25">
        <f t="shared" si="2"/>
        <v>33</v>
      </c>
      <c r="C41" s="25">
        <v>32</v>
      </c>
      <c r="D41" s="32" t="s">
        <v>65</v>
      </c>
      <c r="E41" s="33" t="s">
        <v>21</v>
      </c>
      <c r="F41" s="34">
        <f>VLOOKUP(Planning!E41,Setting!$C$3:$D$7,2,0)</f>
        <v>2</v>
      </c>
      <c r="G41" s="33" t="s">
        <v>22</v>
      </c>
      <c r="H41" s="34">
        <f>VLOOKUP(Planning!G41,Setting!$F$3:$G$7,2,0)</f>
        <v>2</v>
      </c>
      <c r="I41" s="33" t="s">
        <v>20</v>
      </c>
      <c r="J41" s="20">
        <f>VLOOKUP(Planning!I41,Setting!$I$3:$J$7,2,0)</f>
        <v>1</v>
      </c>
      <c r="K41" s="38"/>
      <c r="L41" s="48">
        <v>0</v>
      </c>
      <c r="M41" s="37">
        <f t="shared" si="0"/>
        <v>4</v>
      </c>
      <c r="N41" s="52">
        <f t="shared" si="1"/>
        <v>4</v>
      </c>
    </row>
    <row r="42" spans="2:14" ht="21" customHeight="1" x14ac:dyDescent="0.4">
      <c r="B42" s="25">
        <f t="shared" si="2"/>
        <v>34</v>
      </c>
      <c r="C42" s="25">
        <v>32</v>
      </c>
      <c r="D42" s="32" t="s">
        <v>66</v>
      </c>
      <c r="E42" s="33" t="s">
        <v>24</v>
      </c>
      <c r="F42" s="34">
        <f>VLOOKUP(Planning!E42,Setting!$C$3:$D$7,2,0)</f>
        <v>3</v>
      </c>
      <c r="G42" s="33" t="s">
        <v>25</v>
      </c>
      <c r="H42" s="34">
        <f>VLOOKUP(Planning!G42,Setting!$F$3:$G$7,2,0)</f>
        <v>3</v>
      </c>
      <c r="I42" s="33" t="s">
        <v>26</v>
      </c>
      <c r="J42" s="20">
        <f>VLOOKUP(Planning!I42,Setting!$I$3:$J$7,2,0)</f>
        <v>3</v>
      </c>
      <c r="K42" s="38"/>
      <c r="L42" s="48">
        <v>0</v>
      </c>
      <c r="M42" s="37">
        <f t="shared" si="0"/>
        <v>27</v>
      </c>
      <c r="N42" s="52">
        <f t="shared" si="1"/>
        <v>27</v>
      </c>
    </row>
    <row r="43" spans="2:14" ht="21" customHeight="1" x14ac:dyDescent="0.4">
      <c r="B43" s="25">
        <f t="shared" si="2"/>
        <v>35</v>
      </c>
      <c r="C43" s="25">
        <v>32</v>
      </c>
      <c r="D43" s="32" t="s">
        <v>67</v>
      </c>
      <c r="E43" s="33" t="s">
        <v>24</v>
      </c>
      <c r="F43" s="34">
        <f>VLOOKUP(Planning!E43,Setting!$C$3:$D$7,2,0)</f>
        <v>3</v>
      </c>
      <c r="G43" s="33" t="s">
        <v>25</v>
      </c>
      <c r="H43" s="34">
        <f>VLOOKUP(Planning!G43,Setting!$F$3:$G$7,2,0)</f>
        <v>3</v>
      </c>
      <c r="I43" s="33" t="s">
        <v>26</v>
      </c>
      <c r="J43" s="20">
        <f>VLOOKUP(Planning!I43,Setting!$I$3:$J$7,2,0)</f>
        <v>3</v>
      </c>
      <c r="K43" s="38"/>
      <c r="L43" s="48">
        <v>0</v>
      </c>
      <c r="M43" s="37">
        <f t="shared" si="0"/>
        <v>27</v>
      </c>
      <c r="N43" s="52">
        <f t="shared" si="1"/>
        <v>27</v>
      </c>
    </row>
    <row r="44" spans="2:14" ht="21" customHeight="1" x14ac:dyDescent="0.4">
      <c r="B44" s="25">
        <f t="shared" si="2"/>
        <v>36</v>
      </c>
      <c r="C44" s="25">
        <v>32</v>
      </c>
      <c r="D44" s="32" t="s">
        <v>68</v>
      </c>
      <c r="E44" s="33" t="s">
        <v>27</v>
      </c>
      <c r="F44" s="34">
        <f>VLOOKUP(Planning!E44,Setting!$C$3:$D$7,2,0)</f>
        <v>4</v>
      </c>
      <c r="G44" s="33" t="s">
        <v>25</v>
      </c>
      <c r="H44" s="34">
        <f>VLOOKUP(Planning!G44,Setting!$F$3:$G$7,2,0)</f>
        <v>3</v>
      </c>
      <c r="I44" s="33" t="s">
        <v>29</v>
      </c>
      <c r="J44" s="20">
        <f>VLOOKUP(Planning!I44,Setting!$I$3:$J$7,2,0)</f>
        <v>4</v>
      </c>
      <c r="K44" s="38"/>
      <c r="L44" s="48">
        <v>0</v>
      </c>
      <c r="M44" s="37">
        <f t="shared" si="0"/>
        <v>48</v>
      </c>
      <c r="N44" s="52">
        <f t="shared" si="1"/>
        <v>48</v>
      </c>
    </row>
    <row r="45" spans="2:14" ht="21" customHeight="1" x14ac:dyDescent="0.4">
      <c r="B45" s="25">
        <f t="shared" si="2"/>
        <v>37</v>
      </c>
      <c r="C45" s="25"/>
      <c r="D45" s="32" t="s">
        <v>69</v>
      </c>
      <c r="E45" s="33"/>
      <c r="F45" s="34" t="e">
        <f>VLOOKUP(Planning!E45,Setting!$C$3:$D$7,2,0)</f>
        <v>#N/A</v>
      </c>
      <c r="G45" s="33"/>
      <c r="H45" s="34" t="e">
        <f>VLOOKUP(Planning!G45,Setting!$F$3:$G$7,2,0)</f>
        <v>#N/A</v>
      </c>
      <c r="I45" s="33"/>
      <c r="J45" s="20" t="e">
        <f>VLOOKUP(Planning!I45,Setting!$I$3:$J$7,2,0)</f>
        <v>#N/A</v>
      </c>
      <c r="K45" s="38"/>
      <c r="L45" s="51">
        <v>87</v>
      </c>
      <c r="M45" s="37" t="e">
        <f t="shared" si="0"/>
        <v>#N/A</v>
      </c>
      <c r="N45" s="53">
        <f t="shared" si="1"/>
        <v>87</v>
      </c>
    </row>
    <row r="46" spans="2:14" ht="21" customHeight="1" x14ac:dyDescent="0.4">
      <c r="B46" s="25">
        <f t="shared" si="2"/>
        <v>38</v>
      </c>
      <c r="C46" s="25">
        <v>37</v>
      </c>
      <c r="D46" s="32" t="s">
        <v>70</v>
      </c>
      <c r="E46" s="33" t="s">
        <v>30</v>
      </c>
      <c r="F46" s="34">
        <f>VLOOKUP(Planning!E46,Setting!$C$3:$D$7,2,0)</f>
        <v>5</v>
      </c>
      <c r="G46" s="33" t="s">
        <v>22</v>
      </c>
      <c r="H46" s="34">
        <f>VLOOKUP(Planning!G46,Setting!$F$3:$G$7,2,0)</f>
        <v>2</v>
      </c>
      <c r="I46" s="33" t="s">
        <v>20</v>
      </c>
      <c r="J46" s="20">
        <f>VLOOKUP(Planning!I46,Setting!$I$3:$J$7,2,0)</f>
        <v>1</v>
      </c>
      <c r="K46" s="38"/>
      <c r="L46" s="48">
        <v>0</v>
      </c>
      <c r="M46" s="37">
        <f t="shared" si="0"/>
        <v>10</v>
      </c>
      <c r="N46" s="52">
        <f t="shared" si="1"/>
        <v>10</v>
      </c>
    </row>
    <row r="47" spans="2:14" ht="21" customHeight="1" x14ac:dyDescent="0.4">
      <c r="B47" s="25">
        <f t="shared" si="2"/>
        <v>39</v>
      </c>
      <c r="C47" s="25">
        <v>37</v>
      </c>
      <c r="D47" s="32" t="s">
        <v>71</v>
      </c>
      <c r="E47" s="33" t="s">
        <v>30</v>
      </c>
      <c r="F47" s="34">
        <f>VLOOKUP(Planning!E47,Setting!$C$3:$D$7,2,0)</f>
        <v>5</v>
      </c>
      <c r="G47" s="33" t="s">
        <v>22</v>
      </c>
      <c r="H47" s="34">
        <f>VLOOKUP(Planning!G47,Setting!$F$3:$G$7,2,0)</f>
        <v>2</v>
      </c>
      <c r="I47" s="33" t="s">
        <v>20</v>
      </c>
      <c r="J47" s="20">
        <f>VLOOKUP(Planning!I47,Setting!$I$3:$J$7,2,0)</f>
        <v>1</v>
      </c>
      <c r="K47" s="38"/>
      <c r="L47" s="48">
        <v>0</v>
      </c>
      <c r="M47" s="37">
        <f t="shared" si="0"/>
        <v>10</v>
      </c>
      <c r="N47" s="52">
        <f t="shared" si="1"/>
        <v>10</v>
      </c>
    </row>
    <row r="48" spans="2:14" ht="21" customHeight="1" x14ac:dyDescent="0.4">
      <c r="B48" s="25">
        <f t="shared" si="2"/>
        <v>40</v>
      </c>
      <c r="C48" s="25">
        <v>37</v>
      </c>
      <c r="D48" s="32" t="s">
        <v>72</v>
      </c>
      <c r="E48" s="33" t="s">
        <v>24</v>
      </c>
      <c r="F48" s="34">
        <f>VLOOKUP(Planning!E48,Setting!$C$3:$D$7,2,0)</f>
        <v>3</v>
      </c>
      <c r="G48" s="33" t="s">
        <v>22</v>
      </c>
      <c r="H48" s="34">
        <f>VLOOKUP(Planning!G48,Setting!$F$3:$G$7,2,0)</f>
        <v>2</v>
      </c>
      <c r="I48" s="33" t="s">
        <v>26</v>
      </c>
      <c r="J48" s="20">
        <f>VLOOKUP(Planning!I48,Setting!$I$3:$J$7,2,0)</f>
        <v>3</v>
      </c>
      <c r="K48" s="38"/>
      <c r="L48" s="48">
        <v>0</v>
      </c>
      <c r="M48" s="37">
        <f t="shared" si="0"/>
        <v>18</v>
      </c>
      <c r="N48" s="52">
        <f t="shared" si="1"/>
        <v>18</v>
      </c>
    </row>
    <row r="49" spans="2:14" ht="21" customHeight="1" x14ac:dyDescent="0.4">
      <c r="B49" s="25">
        <f t="shared" si="2"/>
        <v>41</v>
      </c>
      <c r="C49" s="25">
        <v>37</v>
      </c>
      <c r="D49" s="32" t="s">
        <v>73</v>
      </c>
      <c r="E49" s="33" t="s">
        <v>24</v>
      </c>
      <c r="F49" s="34">
        <f>VLOOKUP(Planning!E49,Setting!$C$3:$D$7,2,0)</f>
        <v>3</v>
      </c>
      <c r="G49" s="33" t="s">
        <v>25</v>
      </c>
      <c r="H49" s="34">
        <f>VLOOKUP(Planning!G49,Setting!$F$3:$G$7,2,0)</f>
        <v>3</v>
      </c>
      <c r="I49" s="33" t="s">
        <v>32</v>
      </c>
      <c r="J49" s="20">
        <f>VLOOKUP(Planning!I49,Setting!$I$3:$J$7,2,0)</f>
        <v>5</v>
      </c>
      <c r="K49" s="38"/>
      <c r="L49" s="48">
        <v>0</v>
      </c>
      <c r="M49" s="37">
        <f t="shared" si="0"/>
        <v>45</v>
      </c>
      <c r="N49" s="52">
        <f t="shared" si="1"/>
        <v>45</v>
      </c>
    </row>
    <row r="50" spans="2:14" ht="21" customHeight="1" x14ac:dyDescent="0.4">
      <c r="B50" s="25">
        <f t="shared" si="2"/>
        <v>42</v>
      </c>
      <c r="C50" s="25">
        <v>37</v>
      </c>
      <c r="D50" s="32" t="s">
        <v>74</v>
      </c>
      <c r="E50" s="33" t="s">
        <v>21</v>
      </c>
      <c r="F50" s="34">
        <f>VLOOKUP(Planning!E50,Setting!$C$3:$D$7,2,0)</f>
        <v>2</v>
      </c>
      <c r="G50" s="33" t="s">
        <v>22</v>
      </c>
      <c r="H50" s="34">
        <f>VLOOKUP(Planning!G50,Setting!$F$3:$G$7,2,0)</f>
        <v>2</v>
      </c>
      <c r="I50" s="33" t="s">
        <v>20</v>
      </c>
      <c r="J50" s="20">
        <f>VLOOKUP(Planning!I50,Setting!$I$3:$J$7,2,0)</f>
        <v>1</v>
      </c>
      <c r="K50" s="38"/>
      <c r="L50" s="48">
        <v>0</v>
      </c>
      <c r="M50" s="37">
        <f t="shared" si="0"/>
        <v>4</v>
      </c>
      <c r="N50" s="52">
        <f t="shared" si="1"/>
        <v>4</v>
      </c>
    </row>
    <row r="51" spans="2:14" ht="21" customHeight="1" x14ac:dyDescent="0.4">
      <c r="B51" s="25">
        <f t="shared" si="2"/>
        <v>43</v>
      </c>
      <c r="C51" s="25"/>
      <c r="D51" s="23"/>
      <c r="E51" s="33"/>
      <c r="F51" s="34" t="e">
        <f>VLOOKUP(Planning!E51,Setting!$C$3:$D$7,2,0)</f>
        <v>#N/A</v>
      </c>
      <c r="G51" s="33"/>
      <c r="H51" s="34" t="e">
        <f>VLOOKUP(Planning!G51,Setting!$F$3:$G$7,2,0)</f>
        <v>#N/A</v>
      </c>
      <c r="I51" s="33"/>
      <c r="J51" s="20" t="e">
        <f>VLOOKUP(Planning!I51,Setting!$I$3:$J$7,2,0)</f>
        <v>#N/A</v>
      </c>
      <c r="K51" s="38"/>
      <c r="L51" s="48">
        <v>0</v>
      </c>
      <c r="M51" s="37" t="e">
        <f t="shared" si="0"/>
        <v>#N/A</v>
      </c>
      <c r="N51" s="52">
        <f t="shared" si="1"/>
        <v>0</v>
      </c>
    </row>
    <row r="52" spans="2:14" ht="21" customHeight="1" x14ac:dyDescent="0.4">
      <c r="B52" s="25">
        <f t="shared" si="2"/>
        <v>44</v>
      </c>
      <c r="C52" s="25"/>
      <c r="D52" s="23"/>
      <c r="E52" s="33"/>
      <c r="F52" s="34" t="e">
        <f>VLOOKUP(Planning!E52,Setting!$C$3:$D$7,2,0)</f>
        <v>#N/A</v>
      </c>
      <c r="G52" s="33"/>
      <c r="H52" s="34" t="e">
        <f>VLOOKUP(Planning!G52,Setting!$F$3:$G$7,2,0)</f>
        <v>#N/A</v>
      </c>
      <c r="I52" s="33"/>
      <c r="J52" s="20" t="e">
        <f>VLOOKUP(Planning!I52,Setting!$I$3:$J$7,2,0)</f>
        <v>#N/A</v>
      </c>
      <c r="K52" s="38"/>
      <c r="L52" s="48">
        <v>0</v>
      </c>
      <c r="M52" s="37" t="e">
        <f t="shared" si="0"/>
        <v>#N/A</v>
      </c>
      <c r="N52" s="52">
        <f t="shared" si="1"/>
        <v>0</v>
      </c>
    </row>
    <row r="53" spans="2:14" ht="21" customHeight="1" x14ac:dyDescent="0.4">
      <c r="B53" s="25">
        <f t="shared" si="2"/>
        <v>45</v>
      </c>
      <c r="C53" s="25"/>
      <c r="D53" s="23"/>
      <c r="E53" s="33"/>
      <c r="F53" s="34" t="e">
        <f>VLOOKUP(Planning!E53,Setting!$C$3:$D$7,2,0)</f>
        <v>#N/A</v>
      </c>
      <c r="G53" s="33"/>
      <c r="H53" s="34" t="e">
        <f>VLOOKUP(Planning!G53,Setting!$F$3:$G$7,2,0)</f>
        <v>#N/A</v>
      </c>
      <c r="I53" s="33"/>
      <c r="J53" s="20" t="e">
        <f>VLOOKUP(Planning!I53,Setting!$I$3:$J$7,2,0)</f>
        <v>#N/A</v>
      </c>
      <c r="K53" s="38"/>
      <c r="L53" s="48">
        <v>0</v>
      </c>
      <c r="M53" s="37" t="e">
        <f t="shared" si="0"/>
        <v>#N/A</v>
      </c>
      <c r="N53" s="52">
        <f t="shared" si="1"/>
        <v>0</v>
      </c>
    </row>
    <row r="54" spans="2:14" ht="21" customHeight="1" x14ac:dyDescent="0.4">
      <c r="B54" s="25">
        <f t="shared" si="2"/>
        <v>46</v>
      </c>
      <c r="C54" s="25"/>
      <c r="D54" s="23"/>
      <c r="E54" s="33"/>
      <c r="F54" s="34" t="e">
        <f>VLOOKUP(Planning!E54,Setting!$C$3:$D$7,2,0)</f>
        <v>#N/A</v>
      </c>
      <c r="G54" s="33"/>
      <c r="H54" s="34" t="e">
        <f>VLOOKUP(Planning!G54,Setting!$F$3:$G$7,2,0)</f>
        <v>#N/A</v>
      </c>
      <c r="I54" s="33"/>
      <c r="J54" s="20" t="e">
        <f>VLOOKUP(Planning!I54,Setting!$I$3:$J$7,2,0)</f>
        <v>#N/A</v>
      </c>
      <c r="K54" s="38"/>
      <c r="L54" s="48">
        <v>0</v>
      </c>
      <c r="M54" s="37" t="e">
        <f t="shared" si="0"/>
        <v>#N/A</v>
      </c>
      <c r="N54" s="52">
        <f t="shared" si="1"/>
        <v>0</v>
      </c>
    </row>
    <row r="55" spans="2:14" ht="21" customHeight="1" x14ac:dyDescent="0.4">
      <c r="B55" s="25">
        <f t="shared" si="2"/>
        <v>47</v>
      </c>
      <c r="C55" s="25"/>
      <c r="D55" s="23"/>
      <c r="E55" s="33"/>
      <c r="F55" s="34" t="e">
        <f>VLOOKUP(Planning!E55,Setting!$C$3:$D$7,2,0)</f>
        <v>#N/A</v>
      </c>
      <c r="G55" s="33"/>
      <c r="H55" s="34" t="e">
        <f>VLOOKUP(Planning!G55,Setting!$F$3:$G$7,2,0)</f>
        <v>#N/A</v>
      </c>
      <c r="I55" s="33"/>
      <c r="J55" s="20" t="e">
        <f>VLOOKUP(Planning!I55,Setting!$I$3:$J$7,2,0)</f>
        <v>#N/A</v>
      </c>
      <c r="K55" s="38"/>
      <c r="L55" s="48">
        <v>0</v>
      </c>
      <c r="M55" s="37" t="e">
        <f t="shared" si="0"/>
        <v>#N/A</v>
      </c>
      <c r="N55" s="52">
        <f t="shared" si="1"/>
        <v>0</v>
      </c>
    </row>
    <row r="56" spans="2:14" ht="21" customHeight="1" x14ac:dyDescent="0.4">
      <c r="B56" s="25">
        <f t="shared" si="2"/>
        <v>48</v>
      </c>
      <c r="C56" s="25"/>
      <c r="D56" s="23"/>
      <c r="E56" s="33"/>
      <c r="F56" s="34" t="e">
        <f>VLOOKUP(Planning!E56,Setting!$C$3:$D$7,2,0)</f>
        <v>#N/A</v>
      </c>
      <c r="G56" s="33"/>
      <c r="H56" s="34" t="e">
        <f>VLOOKUP(Planning!G56,Setting!$F$3:$G$7,2,0)</f>
        <v>#N/A</v>
      </c>
      <c r="I56" s="33"/>
      <c r="J56" s="20" t="e">
        <f>VLOOKUP(Planning!I56,Setting!$I$3:$J$7,2,0)</f>
        <v>#N/A</v>
      </c>
      <c r="K56" s="38"/>
      <c r="L56" s="48">
        <v>0</v>
      </c>
      <c r="M56" s="37" t="e">
        <f t="shared" si="0"/>
        <v>#N/A</v>
      </c>
      <c r="N56" s="52">
        <f t="shared" si="1"/>
        <v>0</v>
      </c>
    </row>
    <row r="57" spans="2:14" ht="21" customHeight="1" x14ac:dyDescent="0.4">
      <c r="B57" s="25">
        <f t="shared" si="2"/>
        <v>49</v>
      </c>
      <c r="C57" s="25"/>
      <c r="D57" s="23"/>
      <c r="E57" s="33"/>
      <c r="F57" s="34" t="e">
        <f>VLOOKUP(Planning!E57,Setting!$C$3:$D$7,2,0)</f>
        <v>#N/A</v>
      </c>
      <c r="G57" s="33"/>
      <c r="H57" s="34" t="e">
        <f>VLOOKUP(Planning!G57,Setting!$F$3:$G$7,2,0)</f>
        <v>#N/A</v>
      </c>
      <c r="I57" s="33"/>
      <c r="J57" s="20" t="e">
        <f>VLOOKUP(Planning!I57,Setting!$I$3:$J$7,2,0)</f>
        <v>#N/A</v>
      </c>
      <c r="K57" s="38"/>
      <c r="L57" s="48">
        <v>0</v>
      </c>
      <c r="M57" s="37" t="e">
        <f t="shared" si="0"/>
        <v>#N/A</v>
      </c>
      <c r="N57" s="52">
        <f t="shared" si="1"/>
        <v>0</v>
      </c>
    </row>
    <row r="58" spans="2:14" ht="21" customHeight="1" x14ac:dyDescent="0.4">
      <c r="B58" s="25">
        <f t="shared" si="2"/>
        <v>50</v>
      </c>
      <c r="C58" s="25"/>
      <c r="D58" s="23"/>
      <c r="E58" s="33"/>
      <c r="F58" s="34" t="e">
        <f>VLOOKUP(Planning!E58,Setting!$C$3:$D$7,2,0)</f>
        <v>#N/A</v>
      </c>
      <c r="G58" s="33"/>
      <c r="H58" s="34" t="e">
        <f>VLOOKUP(Planning!G58,Setting!$F$3:$G$7,2,0)</f>
        <v>#N/A</v>
      </c>
      <c r="I58" s="33"/>
      <c r="J58" s="20" t="e">
        <f>VLOOKUP(Planning!I58,Setting!$I$3:$J$7,2,0)</f>
        <v>#N/A</v>
      </c>
      <c r="K58" s="38"/>
      <c r="L58" s="48">
        <v>0</v>
      </c>
      <c r="M58" s="37" t="e">
        <f t="shared" si="0"/>
        <v>#N/A</v>
      </c>
      <c r="N58" s="52">
        <f t="shared" si="1"/>
        <v>0</v>
      </c>
    </row>
    <row r="59" spans="2:14" ht="21" customHeight="1" x14ac:dyDescent="0.4">
      <c r="B59" s="25">
        <f t="shared" si="2"/>
        <v>51</v>
      </c>
      <c r="C59" s="25"/>
      <c r="D59" s="23"/>
      <c r="E59" s="33"/>
      <c r="F59" s="34" t="e">
        <f>VLOOKUP(Planning!E59,Setting!$C$3:$D$7,2,0)</f>
        <v>#N/A</v>
      </c>
      <c r="G59" s="33"/>
      <c r="H59" s="34" t="e">
        <f>VLOOKUP(Planning!G59,Setting!$F$3:$G$7,2,0)</f>
        <v>#N/A</v>
      </c>
      <c r="I59" s="33"/>
      <c r="J59" s="20" t="e">
        <f>VLOOKUP(Planning!I59,Setting!$I$3:$J$7,2,0)</f>
        <v>#N/A</v>
      </c>
      <c r="K59" s="38"/>
      <c r="L59" s="48">
        <v>0</v>
      </c>
      <c r="M59" s="37" t="e">
        <f t="shared" si="0"/>
        <v>#N/A</v>
      </c>
      <c r="N59" s="52">
        <f t="shared" si="1"/>
        <v>0</v>
      </c>
    </row>
    <row r="60" spans="2:14" ht="21" customHeight="1" x14ac:dyDescent="0.4">
      <c r="B60" s="25">
        <f t="shared" si="2"/>
        <v>52</v>
      </c>
      <c r="C60" s="25"/>
      <c r="D60" s="23"/>
      <c r="E60" s="33"/>
      <c r="F60" s="34" t="e">
        <f>VLOOKUP(Planning!E60,Setting!$C$3:$D$7,2,0)</f>
        <v>#N/A</v>
      </c>
      <c r="G60" s="33"/>
      <c r="H60" s="34" t="e">
        <f>VLOOKUP(Planning!G60,Setting!$F$3:$G$7,2,0)</f>
        <v>#N/A</v>
      </c>
      <c r="I60" s="33"/>
      <c r="J60" s="20" t="e">
        <f>VLOOKUP(Planning!I60,Setting!$I$3:$J$7,2,0)</f>
        <v>#N/A</v>
      </c>
      <c r="K60" s="38"/>
      <c r="L60" s="48">
        <v>0</v>
      </c>
      <c r="M60" s="37" t="e">
        <f t="shared" si="0"/>
        <v>#N/A</v>
      </c>
      <c r="N60" s="52">
        <f t="shared" si="1"/>
        <v>0</v>
      </c>
    </row>
    <row r="61" spans="2:14" ht="21" customHeight="1" x14ac:dyDescent="0.4">
      <c r="B61" s="25">
        <f t="shared" si="2"/>
        <v>53</v>
      </c>
      <c r="C61" s="25"/>
      <c r="D61" s="23"/>
      <c r="E61" s="33"/>
      <c r="F61" s="34" t="e">
        <f>VLOOKUP(Planning!E61,Setting!$C$3:$D$7,2,0)</f>
        <v>#N/A</v>
      </c>
      <c r="G61" s="33"/>
      <c r="H61" s="34" t="e">
        <f>VLOOKUP(Planning!G61,Setting!$F$3:$G$7,2,0)</f>
        <v>#N/A</v>
      </c>
      <c r="I61" s="33"/>
      <c r="J61" s="20" t="e">
        <f>VLOOKUP(Planning!I61,Setting!$I$3:$J$7,2,0)</f>
        <v>#N/A</v>
      </c>
      <c r="K61" s="38"/>
      <c r="L61" s="48">
        <v>0</v>
      </c>
      <c r="M61" s="37" t="e">
        <f t="shared" si="0"/>
        <v>#N/A</v>
      </c>
      <c r="N61" s="52">
        <f t="shared" si="1"/>
        <v>0</v>
      </c>
    </row>
    <row r="62" spans="2:14" ht="21" customHeight="1" x14ac:dyDescent="0.4">
      <c r="B62" s="25">
        <f t="shared" si="2"/>
        <v>54</v>
      </c>
      <c r="C62" s="25"/>
      <c r="D62" s="23"/>
      <c r="E62" s="33"/>
      <c r="F62" s="34" t="e">
        <f>VLOOKUP(Planning!E62,Setting!$C$3:$D$7,2,0)</f>
        <v>#N/A</v>
      </c>
      <c r="G62" s="33"/>
      <c r="H62" s="34" t="e">
        <f>VLOOKUP(Planning!G62,Setting!$F$3:$G$7,2,0)</f>
        <v>#N/A</v>
      </c>
      <c r="I62" s="33"/>
      <c r="J62" s="20" t="e">
        <f>VLOOKUP(Planning!I62,Setting!$I$3:$J$7,2,0)</f>
        <v>#N/A</v>
      </c>
      <c r="K62" s="38"/>
      <c r="L62" s="48">
        <v>0</v>
      </c>
      <c r="M62" s="37" t="e">
        <f t="shared" si="0"/>
        <v>#N/A</v>
      </c>
      <c r="N62" s="52">
        <f t="shared" si="1"/>
        <v>0</v>
      </c>
    </row>
    <row r="63" spans="2:14" ht="21" customHeight="1" x14ac:dyDescent="0.4">
      <c r="B63" s="25">
        <f t="shared" si="2"/>
        <v>55</v>
      </c>
      <c r="C63" s="25"/>
      <c r="D63" s="23"/>
      <c r="E63" s="33"/>
      <c r="F63" s="34" t="e">
        <f>VLOOKUP(Planning!E63,Setting!$C$3:$D$7,2,0)</f>
        <v>#N/A</v>
      </c>
      <c r="G63" s="33"/>
      <c r="H63" s="34" t="e">
        <f>VLOOKUP(Planning!G63,Setting!$F$3:$G$7,2,0)</f>
        <v>#N/A</v>
      </c>
      <c r="I63" s="33"/>
      <c r="J63" s="20" t="e">
        <f>VLOOKUP(Planning!I63,Setting!$I$3:$J$7,2,0)</f>
        <v>#N/A</v>
      </c>
      <c r="K63" s="38"/>
      <c r="L63" s="48">
        <v>0</v>
      </c>
      <c r="M63" s="37" t="e">
        <f t="shared" si="0"/>
        <v>#N/A</v>
      </c>
      <c r="N63" s="52">
        <f t="shared" si="1"/>
        <v>0</v>
      </c>
    </row>
    <row r="64" spans="2:14" ht="21" customHeight="1" x14ac:dyDescent="0.4">
      <c r="B64" s="25">
        <f t="shared" si="2"/>
        <v>56</v>
      </c>
      <c r="C64" s="25"/>
      <c r="D64" s="23"/>
      <c r="E64" s="33"/>
      <c r="F64" s="34" t="e">
        <f>VLOOKUP(Planning!E64,Setting!$C$3:$D$7,2,0)</f>
        <v>#N/A</v>
      </c>
      <c r="G64" s="33"/>
      <c r="H64" s="34" t="e">
        <f>VLOOKUP(Planning!G64,Setting!$F$3:$G$7,2,0)</f>
        <v>#N/A</v>
      </c>
      <c r="I64" s="33"/>
      <c r="J64" s="20" t="e">
        <f>VLOOKUP(Planning!I64,Setting!$I$3:$J$7,2,0)</f>
        <v>#N/A</v>
      </c>
      <c r="K64" s="38"/>
      <c r="L64" s="48">
        <v>0</v>
      </c>
      <c r="M64" s="37" t="e">
        <f t="shared" si="0"/>
        <v>#N/A</v>
      </c>
      <c r="N64" s="52">
        <f t="shared" si="1"/>
        <v>0</v>
      </c>
    </row>
    <row r="65" spans="2:14" ht="21" customHeight="1" x14ac:dyDescent="0.4">
      <c r="B65" s="25">
        <f t="shared" si="2"/>
        <v>57</v>
      </c>
      <c r="C65" s="25"/>
      <c r="D65" s="23"/>
      <c r="E65" s="33"/>
      <c r="F65" s="34" t="e">
        <f>VLOOKUP(Planning!E65,Setting!$C$3:$D$7,2,0)</f>
        <v>#N/A</v>
      </c>
      <c r="G65" s="33"/>
      <c r="H65" s="34" t="e">
        <f>VLOOKUP(Planning!G65,Setting!$F$3:$G$7,2,0)</f>
        <v>#N/A</v>
      </c>
      <c r="I65" s="33"/>
      <c r="J65" s="20" t="e">
        <f>VLOOKUP(Planning!I65,Setting!$I$3:$J$7,2,0)</f>
        <v>#N/A</v>
      </c>
      <c r="K65" s="38"/>
      <c r="L65" s="48">
        <v>0</v>
      </c>
      <c r="M65" s="37" t="e">
        <f t="shared" si="0"/>
        <v>#N/A</v>
      </c>
      <c r="N65" s="52">
        <f t="shared" si="1"/>
        <v>0</v>
      </c>
    </row>
    <row r="66" spans="2:14" ht="21" customHeight="1" x14ac:dyDescent="0.4">
      <c r="B66" s="25">
        <f t="shared" si="2"/>
        <v>58</v>
      </c>
      <c r="C66" s="25"/>
      <c r="D66" s="23"/>
      <c r="E66" s="33"/>
      <c r="F66" s="34" t="e">
        <f>VLOOKUP(Planning!E66,Setting!$C$3:$D$7,2,0)</f>
        <v>#N/A</v>
      </c>
      <c r="G66" s="33"/>
      <c r="H66" s="34" t="e">
        <f>VLOOKUP(Planning!G66,Setting!$F$3:$G$7,2,0)</f>
        <v>#N/A</v>
      </c>
      <c r="I66" s="33"/>
      <c r="J66" s="20" t="e">
        <f>VLOOKUP(Planning!I66,Setting!$I$3:$J$7,2,0)</f>
        <v>#N/A</v>
      </c>
      <c r="K66" s="38"/>
      <c r="L66" s="48">
        <v>0</v>
      </c>
      <c r="M66" s="37" t="e">
        <f t="shared" si="0"/>
        <v>#N/A</v>
      </c>
      <c r="N66" s="52">
        <f t="shared" si="1"/>
        <v>0</v>
      </c>
    </row>
    <row r="67" spans="2:14" ht="21" customHeight="1" x14ac:dyDescent="0.4">
      <c r="B67" s="25">
        <f t="shared" si="2"/>
        <v>59</v>
      </c>
      <c r="C67" s="25"/>
      <c r="D67" s="23"/>
      <c r="E67" s="33"/>
      <c r="F67" s="34" t="e">
        <f>VLOOKUP(Planning!E67,Setting!$C$3:$D$7,2,0)</f>
        <v>#N/A</v>
      </c>
      <c r="G67" s="33"/>
      <c r="H67" s="34" t="e">
        <f>VLOOKUP(Planning!G67,Setting!$F$3:$G$7,2,0)</f>
        <v>#N/A</v>
      </c>
      <c r="I67" s="33"/>
      <c r="J67" s="20" t="e">
        <f>VLOOKUP(Planning!I67,Setting!$I$3:$J$7,2,0)</f>
        <v>#N/A</v>
      </c>
      <c r="K67" s="38"/>
      <c r="L67" s="48">
        <v>0</v>
      </c>
      <c r="M67" s="37" t="e">
        <f t="shared" si="0"/>
        <v>#N/A</v>
      </c>
      <c r="N67" s="52">
        <f t="shared" si="1"/>
        <v>0</v>
      </c>
    </row>
    <row r="68" spans="2:14" ht="21" customHeight="1" x14ac:dyDescent="0.4">
      <c r="B68" s="25">
        <f t="shared" si="2"/>
        <v>60</v>
      </c>
      <c r="C68" s="25"/>
      <c r="D68" s="23"/>
      <c r="E68" s="33"/>
      <c r="F68" s="34" t="e">
        <f>VLOOKUP(Planning!E68,Setting!$C$3:$D$7,2,0)</f>
        <v>#N/A</v>
      </c>
      <c r="G68" s="33"/>
      <c r="H68" s="34" t="e">
        <f>VLOOKUP(Planning!G68,Setting!$F$3:$G$7,2,0)</f>
        <v>#N/A</v>
      </c>
      <c r="I68" s="33"/>
      <c r="J68" s="20" t="e">
        <f>VLOOKUP(Planning!I68,Setting!$I$3:$J$7,2,0)</f>
        <v>#N/A</v>
      </c>
      <c r="K68" s="38"/>
      <c r="L68" s="48">
        <v>0</v>
      </c>
      <c r="M68" s="37" t="e">
        <f t="shared" si="0"/>
        <v>#N/A</v>
      </c>
      <c r="N68" s="52">
        <f t="shared" si="1"/>
        <v>0</v>
      </c>
    </row>
    <row r="69" spans="2:14" ht="21" customHeight="1" x14ac:dyDescent="0.4">
      <c r="B69" s="25">
        <f t="shared" si="2"/>
        <v>61</v>
      </c>
      <c r="C69" s="25"/>
      <c r="D69" s="23"/>
      <c r="E69" s="33"/>
      <c r="F69" s="34" t="e">
        <f>VLOOKUP(Planning!E69,Setting!$C$3:$D$7,2,0)</f>
        <v>#N/A</v>
      </c>
      <c r="G69" s="33"/>
      <c r="H69" s="34" t="e">
        <f>VLOOKUP(Planning!G69,Setting!$F$3:$G$7,2,0)</f>
        <v>#N/A</v>
      </c>
      <c r="I69" s="33"/>
      <c r="J69" s="20" t="e">
        <f>VLOOKUP(Planning!I69,Setting!$I$3:$J$7,2,0)</f>
        <v>#N/A</v>
      </c>
      <c r="K69" s="38"/>
      <c r="L69" s="48">
        <v>0</v>
      </c>
      <c r="M69" s="37" t="e">
        <f t="shared" si="0"/>
        <v>#N/A</v>
      </c>
      <c r="N69" s="52">
        <f t="shared" si="1"/>
        <v>0</v>
      </c>
    </row>
    <row r="70" spans="2:14" ht="21" customHeight="1" x14ac:dyDescent="0.4">
      <c r="B70" s="25">
        <f t="shared" si="2"/>
        <v>62</v>
      </c>
      <c r="C70" s="25"/>
      <c r="D70" s="23"/>
      <c r="E70" s="33"/>
      <c r="F70" s="34" t="e">
        <f>VLOOKUP(Planning!E70,Setting!$C$3:$D$7,2,0)</f>
        <v>#N/A</v>
      </c>
      <c r="G70" s="33"/>
      <c r="H70" s="34" t="e">
        <f>VLOOKUP(Planning!G70,Setting!$F$3:$G$7,2,0)</f>
        <v>#N/A</v>
      </c>
      <c r="I70" s="33"/>
      <c r="J70" s="20" t="e">
        <f>VLOOKUP(Planning!I70,Setting!$I$3:$J$7,2,0)</f>
        <v>#N/A</v>
      </c>
      <c r="K70" s="38"/>
      <c r="L70" s="48">
        <v>0</v>
      </c>
      <c r="M70" s="37" t="e">
        <f t="shared" si="0"/>
        <v>#N/A</v>
      </c>
      <c r="N70" s="52">
        <f t="shared" si="1"/>
        <v>0</v>
      </c>
    </row>
    <row r="71" spans="2:14" ht="21" customHeight="1" x14ac:dyDescent="0.4">
      <c r="B71" s="25">
        <f t="shared" si="2"/>
        <v>63</v>
      </c>
      <c r="C71" s="25"/>
      <c r="D71" s="23"/>
      <c r="E71" s="33"/>
      <c r="F71" s="34" t="e">
        <f>VLOOKUP(Planning!E71,Setting!$C$3:$D$7,2,0)</f>
        <v>#N/A</v>
      </c>
      <c r="G71" s="33"/>
      <c r="H71" s="34" t="e">
        <f>VLOOKUP(Planning!G71,Setting!$F$3:$G$7,2,0)</f>
        <v>#N/A</v>
      </c>
      <c r="I71" s="33"/>
      <c r="J71" s="20" t="e">
        <f>VLOOKUP(Planning!I71,Setting!$I$3:$J$7,2,0)</f>
        <v>#N/A</v>
      </c>
      <c r="K71" s="38"/>
      <c r="L71" s="48">
        <v>0</v>
      </c>
      <c r="M71" s="37" t="e">
        <f t="shared" si="0"/>
        <v>#N/A</v>
      </c>
      <c r="N71" s="52">
        <f t="shared" si="1"/>
        <v>0</v>
      </c>
    </row>
    <row r="72" spans="2:14" ht="21" customHeight="1" x14ac:dyDescent="0.4">
      <c r="B72" s="25">
        <f t="shared" si="2"/>
        <v>64</v>
      </c>
      <c r="C72" s="25"/>
      <c r="D72" s="23"/>
      <c r="E72" s="33"/>
      <c r="F72" s="34" t="e">
        <f>VLOOKUP(Planning!E72,Setting!$C$3:$D$7,2,0)</f>
        <v>#N/A</v>
      </c>
      <c r="G72" s="33"/>
      <c r="H72" s="34" t="e">
        <f>VLOOKUP(Planning!G72,Setting!$F$3:$G$7,2,0)</f>
        <v>#N/A</v>
      </c>
      <c r="I72" s="33"/>
      <c r="J72" s="20" t="e">
        <f>VLOOKUP(Planning!I72,Setting!$I$3:$J$7,2,0)</f>
        <v>#N/A</v>
      </c>
      <c r="K72" s="38"/>
      <c r="L72" s="48">
        <v>0</v>
      </c>
      <c r="M72" s="37" t="e">
        <f t="shared" si="0"/>
        <v>#N/A</v>
      </c>
      <c r="N72" s="52">
        <f t="shared" si="1"/>
        <v>0</v>
      </c>
    </row>
    <row r="73" spans="2:14" ht="21" customHeight="1" x14ac:dyDescent="0.4">
      <c r="B73" s="25">
        <f t="shared" si="2"/>
        <v>65</v>
      </c>
      <c r="C73" s="25"/>
      <c r="D73" s="23"/>
      <c r="E73" s="33"/>
      <c r="F73" s="34" t="e">
        <f>VLOOKUP(Planning!E73,Setting!$C$3:$D$7,2,0)</f>
        <v>#N/A</v>
      </c>
      <c r="G73" s="33"/>
      <c r="H73" s="34" t="e">
        <f>VLOOKUP(Planning!G73,Setting!$F$3:$G$7,2,0)</f>
        <v>#N/A</v>
      </c>
      <c r="I73" s="33"/>
      <c r="J73" s="20" t="e">
        <f>VLOOKUP(Planning!I73,Setting!$I$3:$J$7,2,0)</f>
        <v>#N/A</v>
      </c>
      <c r="K73" s="38"/>
      <c r="L73" s="48">
        <v>0</v>
      </c>
      <c r="M73" s="37" t="e">
        <f t="shared" si="0"/>
        <v>#N/A</v>
      </c>
      <c r="N73" s="52">
        <f t="shared" si="1"/>
        <v>0</v>
      </c>
    </row>
    <row r="74" spans="2:14" ht="21.75" thickBot="1" x14ac:dyDescent="0.45">
      <c r="B74" s="25">
        <f t="shared" si="2"/>
        <v>66</v>
      </c>
      <c r="C74" s="25"/>
      <c r="D74" s="24"/>
      <c r="E74" s="35"/>
      <c r="F74" s="34" t="e">
        <f>VLOOKUP(Planning!E74,Setting!$C$3:$D$7,2,0)</f>
        <v>#N/A</v>
      </c>
      <c r="G74" s="33"/>
      <c r="H74" s="34" t="e">
        <f>VLOOKUP(Planning!G74,Setting!$F$3:$G$7,2,0)</f>
        <v>#N/A</v>
      </c>
      <c r="I74" s="36"/>
      <c r="J74" s="20" t="e">
        <f>VLOOKUP(Planning!I74,Setting!$I$3:$J$7,2,0)</f>
        <v>#N/A</v>
      </c>
      <c r="K74" s="46"/>
      <c r="L74" s="49">
        <v>0</v>
      </c>
      <c r="M74" s="37" t="e">
        <f t="shared" ref="M74" si="3">F74*H74*J74</f>
        <v>#N/A</v>
      </c>
      <c r="N74" s="52">
        <f t="shared" ref="N74" si="4">_xlfn.IFNA(M74,0)+K74+L74</f>
        <v>0</v>
      </c>
    </row>
    <row r="75" spans="2:14" ht="26.25" thickTop="1" x14ac:dyDescent="0.4">
      <c r="D75" s="13"/>
      <c r="E75" s="14"/>
      <c r="F75" s="13"/>
      <c r="G75" s="14"/>
      <c r="H75" s="13"/>
      <c r="I75" s="57" t="s">
        <v>10</v>
      </c>
      <c r="J75" s="58"/>
      <c r="K75" s="58"/>
      <c r="L75" s="47"/>
      <c r="M75" s="13"/>
      <c r="N75" s="15">
        <f>SUM(N9:N74)-SUM(L9:L74)</f>
        <v>659</v>
      </c>
    </row>
    <row r="76" spans="2:14" ht="21" x14ac:dyDescent="0.4">
      <c r="D76" s="13"/>
      <c r="E76" s="14"/>
      <c r="F76" s="13"/>
      <c r="G76" s="14"/>
      <c r="H76" s="13"/>
      <c r="I76" s="14"/>
      <c r="J76" s="13"/>
      <c r="K76" s="14"/>
      <c r="L76" s="14"/>
      <c r="M76" s="13"/>
      <c r="N76" s="40"/>
    </row>
    <row r="77" spans="2:14" ht="21" x14ac:dyDescent="0.25">
      <c r="D77" s="16"/>
      <c r="E77" s="17"/>
      <c r="F77" s="16"/>
      <c r="G77" s="17"/>
      <c r="H77" s="16"/>
      <c r="I77" s="17"/>
      <c r="J77" s="16"/>
      <c r="K77" s="17"/>
      <c r="L77" s="17"/>
      <c r="M77" s="16"/>
      <c r="N77" s="41"/>
    </row>
    <row r="78" spans="2:14" ht="20.25" x14ac:dyDescent="0.25">
      <c r="D78" s="59" t="s">
        <v>11</v>
      </c>
      <c r="E78" s="59"/>
      <c r="F78" s="59"/>
      <c r="G78" s="59"/>
      <c r="H78" s="59"/>
      <c r="I78" s="59"/>
      <c r="J78" s="59"/>
      <c r="K78" s="59"/>
      <c r="L78" s="59"/>
      <c r="M78" s="59"/>
      <c r="N78" s="59"/>
    </row>
    <row r="79" spans="2:14" ht="20.25" x14ac:dyDescent="0.25">
      <c r="D79" s="60" t="s">
        <v>12</v>
      </c>
      <c r="E79" s="60"/>
      <c r="F79" s="60"/>
      <c r="G79" s="60"/>
      <c r="H79" s="60"/>
      <c r="I79" s="60"/>
      <c r="J79" s="60"/>
      <c r="K79" s="60"/>
      <c r="L79" s="60"/>
      <c r="M79" s="60"/>
      <c r="N79" s="60"/>
    </row>
    <row r="80" spans="2:14" ht="15" x14ac:dyDescent="0.25">
      <c r="D80" s="61" t="s">
        <v>13</v>
      </c>
      <c r="E80" s="62"/>
      <c r="F80" s="62"/>
      <c r="G80" s="62"/>
      <c r="H80" s="62"/>
      <c r="I80" s="62"/>
      <c r="J80" s="62"/>
      <c r="K80" s="62"/>
      <c r="L80" s="62"/>
      <c r="M80" s="62"/>
      <c r="N80" s="62"/>
    </row>
    <row r="81" spans="4:14" x14ac:dyDescent="0.25">
      <c r="D81" s="18"/>
      <c r="E81" s="19"/>
      <c r="F81" s="18"/>
      <c r="G81" s="19"/>
      <c r="H81" s="18"/>
      <c r="I81" s="19"/>
      <c r="J81" s="18"/>
      <c r="K81" s="19"/>
      <c r="L81" s="19"/>
      <c r="M81" s="18"/>
      <c r="N81" s="42"/>
    </row>
    <row r="82" spans="4:14" x14ac:dyDescent="0.25">
      <c r="D82" s="18"/>
      <c r="E82" s="19"/>
      <c r="F82" s="18"/>
      <c r="H82" s="18"/>
      <c r="I82" s="19"/>
      <c r="J82" s="18"/>
      <c r="K82" s="19"/>
      <c r="L82" s="19"/>
      <c r="M82" s="18"/>
      <c r="N82" s="42"/>
    </row>
    <row r="83" spans="4:14" x14ac:dyDescent="0.25">
      <c r="D83" s="18"/>
      <c r="E83" s="19"/>
      <c r="F83" s="18"/>
      <c r="G83" s="19"/>
      <c r="H83" s="18"/>
      <c r="I83" s="19"/>
      <c r="J83" s="18"/>
      <c r="K83" s="19"/>
      <c r="L83" s="19"/>
      <c r="M83" s="18"/>
      <c r="N83" s="42"/>
    </row>
    <row r="84" spans="4:14" x14ac:dyDescent="0.25">
      <c r="D84" s="18"/>
      <c r="E84" s="19"/>
      <c r="F84" s="18"/>
      <c r="G84" s="19"/>
      <c r="H84" s="18"/>
      <c r="I84" s="19"/>
      <c r="J84" s="18"/>
      <c r="K84" s="19"/>
      <c r="L84" s="19"/>
      <c r="M84" s="18"/>
      <c r="N84" s="42"/>
    </row>
    <row r="85" spans="4:14" x14ac:dyDescent="0.25">
      <c r="D85" s="18"/>
      <c r="E85" s="19"/>
      <c r="F85" s="18"/>
      <c r="G85" s="19"/>
      <c r="H85" s="18"/>
      <c r="I85" s="19"/>
      <c r="J85" s="18"/>
      <c r="K85" s="19"/>
      <c r="L85" s="19"/>
      <c r="M85" s="18"/>
      <c r="N85" s="42"/>
    </row>
    <row r="86" spans="4:14" x14ac:dyDescent="0.25">
      <c r="D86" s="8"/>
      <c r="E86" s="9"/>
      <c r="F86" s="8"/>
      <c r="G86" s="9"/>
      <c r="H86" s="8"/>
      <c r="I86" s="9"/>
      <c r="J86" s="8"/>
      <c r="K86" s="9"/>
      <c r="L86" s="9"/>
      <c r="M86" s="8"/>
      <c r="N86" s="43"/>
    </row>
    <row r="87" spans="4:14" x14ac:dyDescent="0.25">
      <c r="D87" s="8"/>
      <c r="E87" s="9"/>
      <c r="F87" s="8"/>
      <c r="G87" s="9"/>
      <c r="H87" s="8"/>
      <c r="I87" s="9"/>
      <c r="J87" s="8"/>
      <c r="K87" s="9"/>
      <c r="L87" s="9"/>
      <c r="M87" s="8"/>
      <c r="N87" s="43"/>
    </row>
  </sheetData>
  <autoFilter ref="D8:N75" xr:uid="{F269A4EC-BC13-4041-BA57-D2DF29A754B5}"/>
  <mergeCells count="11">
    <mergeCell ref="D2:N2"/>
    <mergeCell ref="E4:N4"/>
    <mergeCell ref="D5:D6"/>
    <mergeCell ref="G5:N6"/>
    <mergeCell ref="E7:N7"/>
    <mergeCell ref="B4:B8"/>
    <mergeCell ref="I75:K75"/>
    <mergeCell ref="D78:N78"/>
    <mergeCell ref="D79:N79"/>
    <mergeCell ref="D80:N80"/>
    <mergeCell ref="C4:C8"/>
  </mergeCells>
  <conditionalFormatting sqref="E9:E74">
    <cfRule type="expression" dxfId="14" priority="11">
      <formula>F9=1</formula>
    </cfRule>
    <cfRule type="expression" dxfId="13" priority="12">
      <formula>F9=2</formula>
    </cfRule>
    <cfRule type="expression" dxfId="12" priority="13">
      <formula>F9=3</formula>
    </cfRule>
    <cfRule type="expression" dxfId="11" priority="14">
      <formula>F9=4</formula>
    </cfRule>
    <cfRule type="expression" dxfId="10" priority="15">
      <formula>F9=5</formula>
    </cfRule>
  </conditionalFormatting>
  <conditionalFormatting sqref="G9:G74">
    <cfRule type="expression" dxfId="9" priority="1">
      <formula>H9=1</formula>
    </cfRule>
    <cfRule type="expression" dxfId="8" priority="2">
      <formula>H9=2</formula>
    </cfRule>
    <cfRule type="expression" dxfId="7" priority="3">
      <formula>H9=3</formula>
    </cfRule>
    <cfRule type="expression" dxfId="6" priority="4">
      <formula>H9=4</formula>
    </cfRule>
    <cfRule type="expression" dxfId="5" priority="5">
      <formula>H9=5</formula>
    </cfRule>
  </conditionalFormatting>
  <conditionalFormatting sqref="I9:I74">
    <cfRule type="expression" dxfId="4" priority="26">
      <formula>J9=1</formula>
    </cfRule>
    <cfRule type="expression" dxfId="3" priority="27">
      <formula>J9=2</formula>
    </cfRule>
    <cfRule type="expression" dxfId="2" priority="28">
      <formula>J9=3</formula>
    </cfRule>
    <cfRule type="expression" dxfId="1" priority="29">
      <formula>J9=4</formula>
    </cfRule>
    <cfRule type="expression" dxfId="0" priority="30">
      <formula>J9=5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Recalcula_Clique">
                <anchor moveWithCells="1">
                  <from>
                    <xdr:col>14</xdr:col>
                    <xdr:colOff>66675</xdr:colOff>
                    <xdr:row>7</xdr:row>
                    <xdr:rowOff>38100</xdr:rowOff>
                  </from>
                  <to>
                    <xdr:col>15</xdr:col>
                    <xdr:colOff>200025</xdr:colOff>
                    <xdr:row>7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A5D7BA-97D5-4D73-B0F1-74F697847A40}">
          <x14:formula1>
            <xm:f>Setting!$F$3:$F$7</xm:f>
          </x14:formula1>
          <xm:sqref>G9:G74</xm:sqref>
        </x14:dataValidation>
        <x14:dataValidation type="list" allowBlank="1" showInputMessage="1" showErrorMessage="1" xr:uid="{53D7863E-43E1-4013-8442-00E2EBE1BD8D}">
          <x14:formula1>
            <xm:f>Setting!$I$3:$I$7</xm:f>
          </x14:formula1>
          <xm:sqref>I9:I74</xm:sqref>
        </x14:dataValidation>
        <x14:dataValidation type="list" allowBlank="1" showInputMessage="1" showErrorMessage="1" xr:uid="{3915BA1F-F773-4AD6-AD2B-1EA2D7ACF5B9}">
          <x14:formula1>
            <xm:f>Setting!$C$3:$C$7</xm:f>
          </x14:formula1>
          <xm:sqref>E9:E74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BBBB5-1242-4170-9952-2C96FDAA42EE}">
  <sheetPr codeName="Planilha2"/>
  <dimension ref="C2:L32"/>
  <sheetViews>
    <sheetView showGridLines="0" workbookViewId="0">
      <selection activeCell="I19" sqref="I19"/>
    </sheetView>
  </sheetViews>
  <sheetFormatPr defaultRowHeight="15" x14ac:dyDescent="0.25"/>
  <cols>
    <col min="1" max="2" width="2.5703125" customWidth="1"/>
    <col min="3" max="3" width="30.7109375" customWidth="1"/>
    <col min="4" max="4" width="4" customWidth="1"/>
    <col min="5" max="5" width="2.5703125" customWidth="1"/>
    <col min="6" max="6" width="30.7109375" customWidth="1"/>
    <col min="7" max="7" width="4" customWidth="1"/>
    <col min="8" max="8" width="2.5703125" customWidth="1"/>
    <col min="9" max="9" width="30.7109375" customWidth="1"/>
    <col min="10" max="10" width="4" customWidth="1"/>
    <col min="11" max="11" width="2.5703125" customWidth="1"/>
    <col min="12" max="12" width="20.85546875" style="4" bestFit="1" customWidth="1"/>
  </cols>
  <sheetData>
    <row r="2" spans="3:12" ht="46.5" x14ac:dyDescent="0.7">
      <c r="C2" s="75" t="s">
        <v>14</v>
      </c>
      <c r="D2" s="75"/>
      <c r="F2" s="75" t="s">
        <v>15</v>
      </c>
      <c r="G2" s="75"/>
      <c r="I2" s="75" t="s">
        <v>16</v>
      </c>
      <c r="J2" s="75"/>
      <c r="L2" s="1" t="s">
        <v>17</v>
      </c>
    </row>
    <row r="3" spans="3:12" x14ac:dyDescent="0.25">
      <c r="C3" s="27" t="s">
        <v>18</v>
      </c>
      <c r="D3" s="5">
        <v>1</v>
      </c>
      <c r="F3" s="27" t="s">
        <v>19</v>
      </c>
      <c r="G3" s="5">
        <v>1</v>
      </c>
      <c r="I3" s="27" t="s">
        <v>20</v>
      </c>
      <c r="J3" s="5">
        <v>1</v>
      </c>
      <c r="L3" s="5">
        <v>1</v>
      </c>
    </row>
    <row r="4" spans="3:12" x14ac:dyDescent="0.25">
      <c r="C4" s="28" t="s">
        <v>21</v>
      </c>
      <c r="D4" s="6">
        <v>2</v>
      </c>
      <c r="F4" s="28" t="s">
        <v>22</v>
      </c>
      <c r="G4" s="6">
        <v>2</v>
      </c>
      <c r="I4" s="28" t="s">
        <v>23</v>
      </c>
      <c r="J4" s="6">
        <v>2</v>
      </c>
      <c r="L4" s="6">
        <v>2</v>
      </c>
    </row>
    <row r="5" spans="3:12" x14ac:dyDescent="0.25">
      <c r="C5" s="29" t="s">
        <v>24</v>
      </c>
      <c r="D5" s="6">
        <v>3</v>
      </c>
      <c r="F5" s="29" t="s">
        <v>25</v>
      </c>
      <c r="G5" s="6">
        <v>3</v>
      </c>
      <c r="I5" s="29" t="s">
        <v>26</v>
      </c>
      <c r="J5" s="6">
        <v>3</v>
      </c>
      <c r="L5" s="6">
        <v>3</v>
      </c>
    </row>
    <row r="6" spans="3:12" x14ac:dyDescent="0.25">
      <c r="C6" s="30" t="s">
        <v>27</v>
      </c>
      <c r="D6" s="6">
        <v>4</v>
      </c>
      <c r="F6" s="30" t="s">
        <v>28</v>
      </c>
      <c r="G6" s="6">
        <v>4</v>
      </c>
      <c r="I6" s="30" t="s">
        <v>29</v>
      </c>
      <c r="J6" s="6">
        <v>4</v>
      </c>
      <c r="L6" s="6">
        <v>4</v>
      </c>
    </row>
    <row r="7" spans="3:12" x14ac:dyDescent="0.25">
      <c r="C7" s="31" t="s">
        <v>30</v>
      </c>
      <c r="D7" s="7">
        <v>5</v>
      </c>
      <c r="F7" s="31" t="s">
        <v>31</v>
      </c>
      <c r="G7" s="7">
        <v>5</v>
      </c>
      <c r="I7" s="31" t="s">
        <v>32</v>
      </c>
      <c r="J7" s="7">
        <v>5</v>
      </c>
      <c r="L7" s="6">
        <v>5</v>
      </c>
    </row>
    <row r="8" spans="3:12" x14ac:dyDescent="0.25">
      <c r="L8" s="6">
        <v>6</v>
      </c>
    </row>
    <row r="9" spans="3:12" x14ac:dyDescent="0.25">
      <c r="L9" s="6">
        <v>8</v>
      </c>
    </row>
    <row r="10" spans="3:12" x14ac:dyDescent="0.25">
      <c r="L10" s="6">
        <v>9</v>
      </c>
    </row>
    <row r="11" spans="3:12" x14ac:dyDescent="0.25">
      <c r="L11" s="6">
        <v>10</v>
      </c>
    </row>
    <row r="12" spans="3:12" x14ac:dyDescent="0.25">
      <c r="L12" s="6">
        <v>12</v>
      </c>
    </row>
    <row r="13" spans="3:12" x14ac:dyDescent="0.25">
      <c r="L13" s="6">
        <v>15</v>
      </c>
    </row>
    <row r="14" spans="3:12" x14ac:dyDescent="0.25">
      <c r="L14" s="6">
        <v>16</v>
      </c>
    </row>
    <row r="15" spans="3:12" x14ac:dyDescent="0.25">
      <c r="L15" s="6">
        <v>18</v>
      </c>
    </row>
    <row r="16" spans="3:12" x14ac:dyDescent="0.25">
      <c r="L16" s="6">
        <v>20</v>
      </c>
    </row>
    <row r="17" spans="12:12" x14ac:dyDescent="0.25">
      <c r="L17" s="6">
        <v>24</v>
      </c>
    </row>
    <row r="18" spans="12:12" x14ac:dyDescent="0.25">
      <c r="L18" s="6">
        <v>25</v>
      </c>
    </row>
    <row r="19" spans="12:12" x14ac:dyDescent="0.25">
      <c r="L19" s="6">
        <v>27</v>
      </c>
    </row>
    <row r="20" spans="12:12" x14ac:dyDescent="0.25">
      <c r="L20" s="6">
        <v>30</v>
      </c>
    </row>
    <row r="21" spans="12:12" x14ac:dyDescent="0.25">
      <c r="L21" s="6">
        <v>32</v>
      </c>
    </row>
    <row r="22" spans="12:12" x14ac:dyDescent="0.25">
      <c r="L22" s="6">
        <v>36</v>
      </c>
    </row>
    <row r="23" spans="12:12" x14ac:dyDescent="0.25">
      <c r="L23" s="6">
        <v>40</v>
      </c>
    </row>
    <row r="24" spans="12:12" x14ac:dyDescent="0.25">
      <c r="L24" s="6">
        <v>45</v>
      </c>
    </row>
    <row r="25" spans="12:12" x14ac:dyDescent="0.25">
      <c r="L25" s="6">
        <v>48</v>
      </c>
    </row>
    <row r="26" spans="12:12" x14ac:dyDescent="0.25">
      <c r="L26" s="6">
        <v>50</v>
      </c>
    </row>
    <row r="27" spans="12:12" x14ac:dyDescent="0.25">
      <c r="L27" s="6">
        <v>60</v>
      </c>
    </row>
    <row r="28" spans="12:12" x14ac:dyDescent="0.25">
      <c r="L28" s="6">
        <v>64</v>
      </c>
    </row>
    <row r="29" spans="12:12" x14ac:dyDescent="0.25">
      <c r="L29" s="6">
        <v>75</v>
      </c>
    </row>
    <row r="30" spans="12:12" x14ac:dyDescent="0.25">
      <c r="L30" s="6">
        <v>80</v>
      </c>
    </row>
    <row r="31" spans="12:12" x14ac:dyDescent="0.25">
      <c r="L31" s="6">
        <v>100</v>
      </c>
    </row>
    <row r="32" spans="12:12" x14ac:dyDescent="0.25">
      <c r="L32" s="7">
        <v>125</v>
      </c>
    </row>
  </sheetData>
  <mergeCells count="3">
    <mergeCell ref="C2:D2"/>
    <mergeCell ref="F2:G2"/>
    <mergeCell ref="I2:J2"/>
  </mergeCells>
  <conditionalFormatting sqref="D3:D7">
    <cfRule type="colorScale" priority="1">
      <colorScale>
        <cfvo type="min"/>
        <cfvo type="percentile" val="50"/>
        <cfvo type="max"/>
        <color rgb="FF0070C0"/>
        <color rgb="FFFFFF00"/>
        <color rgb="FFFF0000"/>
      </colorScale>
    </cfRule>
  </conditionalFormatting>
  <conditionalFormatting sqref="G3:G7">
    <cfRule type="colorScale" priority="2">
      <colorScale>
        <cfvo type="min"/>
        <cfvo type="percentile" val="50"/>
        <cfvo type="max"/>
        <color rgb="FF0070C0"/>
        <color rgb="FFFFFF00"/>
        <color rgb="FFFF0000"/>
      </colorScale>
    </cfRule>
  </conditionalFormatting>
  <conditionalFormatting sqref="J3:J7">
    <cfRule type="colorScale" priority="3">
      <colorScale>
        <cfvo type="min"/>
        <cfvo type="percentile" val="50"/>
        <cfvo type="max"/>
        <color rgb="FF0070C0"/>
        <color rgb="FFFFFF00"/>
        <color rgb="FFFF0000"/>
      </colorScale>
    </cfRule>
  </conditionalFormatting>
  <conditionalFormatting sqref="L3:L32">
    <cfRule type="colorScale" priority="4">
      <colorScale>
        <cfvo type="min"/>
        <cfvo type="percentile" val="50"/>
        <cfvo type="max"/>
        <color rgb="FF0070C0"/>
        <color rgb="FFFFFF00"/>
        <color rgb="FFFF0000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Planning</vt:lpstr>
      <vt:lpstr>Setting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Giovani Mesquita</dc:creator>
  <cp:keywords/>
  <dc:description/>
  <cp:lastModifiedBy>Giovani Mesquita</cp:lastModifiedBy>
  <cp:revision/>
  <dcterms:created xsi:type="dcterms:W3CDTF">2021-04-19T19:21:06Z</dcterms:created>
  <dcterms:modified xsi:type="dcterms:W3CDTF">2024-10-31T01:33:07Z</dcterms:modified>
  <cp:category/>
  <cp:contentStatus/>
</cp:coreProperties>
</file>